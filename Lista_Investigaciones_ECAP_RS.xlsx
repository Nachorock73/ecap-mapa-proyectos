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tables/table1.xml" ContentType="application/vnd.openxmlformats-officedocument.spreadsheetml.table+xml"/>
  <Override PartName="/xl/worksheets/sheet2.xml" ContentType="application/vnd.openxmlformats-officedocument.spreadsheetml.worksheet+xml"/>
  <Override PartName="/xl/comments2.xml" ContentType="application/vnd.openxmlformats-officedocument.spreadsheetml.comments+xml"/>
  <Override PartName="/xl/threadedcomments/threadedcomment2.xml" ContentType="application/vnd.ms-excel.threadedcomments+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worksheets/sheet7.xml" ContentType="application/vnd.openxmlformats-officedocument.spreadsheetml.worksheet+xml"/>
  <Override PartName="/xl/drawings/drawing2.xml" ContentType="application/vnd.openxmlformats-officedocument.drawing+xml"/>
  <Override PartName="/xl/drawings/charts/chart4.xml" ContentType="application/vnd.openxmlformats-officedocument.drawingml.chart+xml"/>
  <Override PartName="/xl/drawings/charts/chart5.xml" ContentType="application/vnd.openxmlformats-officedocument.drawingml.chart+xml"/>
  <Override PartName="/xl/drawings/charts/chart6.xml" ContentType="application/vnd.openxmlformats-officedocument.drawingml.chart+xml"/>
  <Override PartName="/xl/drawings/charts/chart7.xml" ContentType="application/vnd.openxmlformats-officedocument.drawingml.chart+xml"/>
  <Override PartName="/xl/drawings/charts/chart8.xml" ContentType="application/vnd.openxmlformats-officedocument.drawingml.chart+xml"/>
  <Override PartName="/xl/drawings/charts/chart9.xml" ContentType="application/vnd.openxmlformats-officedocument.drawingml.chart+xml"/>
  <Override PartName="/xl/worksheets/sheet8.xml" ContentType="application/vnd.openxmlformats-officedocument.spreadsheetml.worksheet+xml"/>
  <Override PartName="/xl/worksheets/sheet9.xml" ContentType="application/vnd.openxmlformats-officedocument.spreadsheetml.worksheet+xml"/>
  <Override PartName="/xl/tables/table3.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3ca8710884074718" /></Relationships>
</file>

<file path=xl/workbook.xml><?xml version="1.0" encoding="utf-8"?>
<x:workbook xmlns:x="http://schemas.openxmlformats.org/spreadsheetml/2006/main">
  <x:sheets>
    <x:sheet xmlns:r="http://schemas.openxmlformats.org/officeDocument/2006/relationships" name="Becarios" sheetId="1" r:id="R31cf68a153d74dde"/>
    <x:sheet xmlns:r="http://schemas.openxmlformats.org/officeDocument/2006/relationships" name="Apoyo_para_Investigaciones" sheetId="2" r:id="R7d68317dbe624326"/>
    <x:sheet xmlns:r="http://schemas.openxmlformats.org/officeDocument/2006/relationships" name="Proyectos_Investigación" sheetId="3" r:id="Rd78c3caf17074d4f"/>
    <x:sheet xmlns:r="http://schemas.openxmlformats.org/officeDocument/2006/relationships" name="Otros_Estudios_Referenciados" sheetId="4" r:id="R9483681581694339"/>
    <x:sheet xmlns:r="http://schemas.openxmlformats.org/officeDocument/2006/relationships" name="Otras_Investigac_Ámbito_Estudio" sheetId="7" r:id="Ra6684ed5449d4443"/>
    <x:sheet xmlns:r="http://schemas.openxmlformats.org/officeDocument/2006/relationships" name="Resultados_líneas_investigación" sheetId="5" r:id="R012fdf64078440f6"/>
    <x:sheet xmlns:r="http://schemas.openxmlformats.org/officeDocument/2006/relationships" name="Resultados_Sistemas_ACH" sheetId="6" r:id="Rf3267eeb1f384ef0"/>
    <x:sheet xmlns:r="http://schemas.openxmlformats.org/officeDocument/2006/relationships" name="Hoja1" sheetId="8" r:id="R49fcb67428a44d96"/>
    <x:sheet xmlns:r="http://schemas.openxmlformats.org/officeDocument/2006/relationships" name="Base_mapa" sheetId="9" r:id="R40646b15f5b34e3c"/>
  </x:sheets>
</x:workbook>
</file>

<file path=xl/comments1.xml><?xml version="1.0" encoding="utf-8"?>
<x:comments xmlns:x="http://schemas.openxmlformats.org/spreadsheetml/2006/main">
  <x:authors>
    <x:author>tc={0543BECA-E512-4B58-A56E-A840C1507AFA}</x:author>
    <x:author>tc={8A72AD13-3FAE-4C5F-8763-48885CC7D7D6}</x:author>
    <x:author>tc={0E8E4AC8-9649-47C8-BC0C-65D627E91D99}</x:author>
    <x:author>tc={1AF3F2AB-0817-4251-A33B-E56E24001344}</x:author>
    <x:author>tc={94488EB7-BF99-416D-A7A8-0C1AF467F490}</x:author>
    <x:author>tc={B8E565F0-CAD3-4949-AD30-5BEBDCD7AF02}</x:author>
    <x:author>tc={9B26089A-83D9-49D0-9600-C76B66062777}</x:author>
    <x:author>tc={BB1CA50A-7B89-4362-871B-05ADCA1976F0}</x:author>
    <x:author>tc={02B64217-6108-4D15-87B5-3870F02F66C5}</x:author>
    <x:author>tc={D23E1D8C-75DD-442E-9E57-BA0D411D27AF}</x:author>
    <x:author>tc={C7832506-C11B-4742-8082-F63C684A06C8}</x:author>
  </x:authors>
  <x:commentList>
    <x:comment ref="K1" authorId="0">
      <x:text>
        <x:r>
          <x:t>[Comentario encadenado]
Su versión de Excel le permite leer este comentario encadenado; sin embargo, las ediciones que se apliquen se quitarán si el archivo se abre en una versión más reciente de Excel. Más información: https://go.microsoft.com/fwlink/?linkid=870924
Comentario:
    2025 N° OFICIOS, MEMOS, REFORMAS, ACTAS SELECCIÓN, ORDENES DE COMPRA11.xlsx</x:t>
        </x:r>
      </x:text>
    </x:comment>
    <x:comment ref="X1" authorId="1">
      <x:text>
        <x:r>
          <x:t>[Comentario encadenado]
Su versión de Excel le permite leer este comentario encadenado; sin embargo, las ediciones que se apliquen se quitarán si el archivo se abre en una versión más reciente de Excel. Más información: https://go.microsoft.com/fwlink/?linkid=870924
Comentario:
    Líneas prioritarias de investigación ECAP
</x:t>
        </x:r>
      </x:text>
    </x:comment>
    <x:comment ref="AI1" authorId="2">
      <x:text>
        <x:r>
          <x:t>[Comentario encadenado]
Su versión de Excel le permite leer este comentario encadenado; sin embargo, las ediciones que se apliquen se quitarán si el archivo se abre en una versión más reciente de Excel. Más información: https://go.microsoft.com/fwlink/?linkid=870924
Comentario:
    Valoración de la Relevancia de las Investigaciones según Encuestas</x:t>
        </x:r>
      </x:text>
    </x:comment>
    <x:comment ref="AN1" authorId="3">
      <x:text>
        <x:r>
          <x:t>[Comentario encadenado]
Su versión de Excel le permite leer este comentario encadenado; sin embargo, las ediciones que se apliquen se quitarán si el archivo se abre en una versión más reciente de Excel. Más información: https://go.microsoft.com/fwlink/?linkid=870924
Comentario:
    Gastos ECAP (USD)</x:t>
        </x:r>
      </x:text>
    </x:comment>
    <x:comment ref="F27" authorId="4">
      <x:text>
        <x:r>
          <x:t>[Comentario encadenado]
Su versión de Excel le permite leer este comentario encadenado; sin embargo, las ediciones que se apliquen se quitarán si el archivo se abre en una versión más reciente de Excel. Más información: https://go.microsoft.com/fwlink/?linkid=870924
Comentario:
    Tesis en curso
Respuesta:
    Ya hay una tesis final con fecha octubre de 2024</x:t>
        </x:r>
      </x:text>
    </x:comment>
    <x:comment ref="K34" authorId="5">
      <x:text>
        <x:r>
          <x:t>[Comentario encadenado]
Su versión de Excel le permite leer este comentario encadenado; sin embargo, las ediciones que se apliquen se quitarán si el archivo se abre en una versión más reciente de Excel. Más información: https://go.microsoft.com/fwlink/?linkid=870924
Comentario:
    El acuerdo no se ha firmado porque el estudiante ya no se matriculó en el semestre. Se sugiere cambiar a Xavier Mena, estudiante de maestría o buscar otro estudiante si hay conflicto con la EPN.</x:t>
        </x:r>
      </x:text>
    </x:comment>
    <x:comment ref="AT36" authorId="6">
      <x:text>
        <x:r>
          <x:t>[Comentario encadenado]
Su versión de Excel le permite leer este comentario encadenado; sin embargo, las ediciones que se apliquen se quitarán si el archivo se abre en una versión más reciente de Excel. Más información: https://go.microsoft.com/fwlink/?linkid=870924
Comentario:
    Preliminar del acuerdo de beca</x:t>
        </x:r>
      </x:text>
    </x:comment>
    <x:comment ref="K37" authorId="7">
      <x:text>
        <x:r>
          <x:t>[Comentario encadenado]
Su versión de Excel le permite leer este comentario encadenado; sin embargo, las ediciones que se apliquen se quitarán si el archivo se abre en una versión más reciente de Excel. Más información: https://go.microsoft.com/fwlink/?linkid=870924
Comentario:
    El proceso de acuerdo de confidencialidad para compartir los datos está en proceso todavía. No se les ha otorgado fondos.</x:t>
        </x:r>
      </x:text>
    </x:comment>
    <x:comment ref="K38" authorId="8">
      <x:text>
        <x:r>
          <x:t>[Comentario encadenado]
Su versión de Excel le permite leer este comentario encadenado; sin embargo, las ediciones que se apliquen se quitarán si el archivo se abre en una versión más reciente de Excel. Más información: https://go.microsoft.com/fwlink/?linkid=870924
Comentario:
    Pendiente de que obtengan RUC</x:t>
        </x:r>
      </x:text>
    </x:comment>
    <x:comment ref="AT38" authorId="9">
      <x:text>
        <x:r>
          <x:t>[Comentario encadenado]
Su versión de Excel le permite leer este comentario encadenado; sin embargo, las ediciones que se apliquen se quitarán si el archivo se abre en una versión más reciente de Excel. Más información: https://go.microsoft.com/fwlink/?linkid=870924
Comentario:
    Preliminar del acuerdo de beca</x:t>
        </x:r>
      </x:text>
    </x:comment>
    <x:comment ref="K40" authorId="10">
      <x:text>
        <x:r>
          <x:t>[Comentario encadenado]
Su versión de Excel le permite leer este comentario encadenado; sin embargo, las ediciones que se apliquen se quitarán si el archivo se abre en una versión más reciente de Excel. Más información: https://go.microsoft.com/fwlink/?linkid=870924
Comentario:
    El estudiante ha tenido algunos inconvenientes/retrasos. Sugiero no otorgarle recursos, sino apoyo como investigación.</x:t>
        </x:r>
      </x:text>
    </x:comment>
  </x:commentList>
</x:comments>
</file>

<file path=xl/comments2.xml><?xml version="1.0" encoding="utf-8"?>
<x:comments xmlns:x="http://schemas.openxmlformats.org/spreadsheetml/2006/main">
  <x:authors>
    <x:author>tc={A4C99E0B-5203-45C6-A5F9-2D694636186D}</x:author>
    <x:author>tc={86300A0D-98C8-40AE-BB5A-A10F3B9A48C9}</x:author>
    <x:author>tc={5D31EB54-55FA-400C-97E3-609721954949}</x:author>
    <x:author>tc={3D2666B0-DF88-472A-B643-976A1A394A00}</x:author>
  </x:authors>
  <x:commentList>
    <x:comment ref="R1" authorId="0">
      <x:text>
        <x:r>
          <x:t>[Comentario encadenado]
Su versión de Excel le permite leer este comentario encadenado; sin embargo, las ediciones que se apliquen se quitarán si el archivo se abre en una versión más reciente de Excel. Más información: https://go.microsoft.com/fwlink/?linkid=870924
Comentario:
    Líneas prioritarias de investigación en ECAP</x:t>
        </x:r>
      </x:text>
    </x:comment>
    <x:comment ref="AC1" authorId="1">
      <x:text>
        <x:r>
          <x:t>[Comentario encadenado]
Su versión de Excel le permite leer este comentario encadenado; sin embargo, las ediciones que se apliquen se quitarán si el archivo se abre en una versión más reciente de Excel. Más información: https://go.microsoft.com/fwlink/?linkid=870924
Comentario:
    Valoración de la Relevancia de las Investigaciones según Encuestas</x:t>
        </x:r>
      </x:text>
    </x:comment>
    <x:comment ref="AH1" authorId="2">
      <x:text>
        <x:r>
          <x:t>[Comentario encadenado]
Su versión de Excel le permite leer este comentario encadenado; sin embargo, las ediciones que se apliquen se quitarán si el archivo se abre en una versión más reciente de Excel. Más información: https://go.microsoft.com/fwlink/?linkid=870924
Comentario:
    Costos ECAP (USD)</x:t>
        </x:r>
      </x:text>
    </x:comment>
    <x:comment ref="A37" authorId="3">
      <x:text>
        <x:r>
          <x:t>[Comentario encadenado]
Su versión de Excel le permite leer este comentario encadenado; sin embargo, las ediciones que se apliquen se quitarán si el archivo se abre en una versión más reciente de Excel. Más información: https://go.microsoft.com/fwlink/?linkid=870924
Comentario:
    Tesis con María Claudia Segovia</x:t>
        </x:r>
      </x:text>
    </x:comment>
  </x:commentList>
</x:comments>
</file>

<file path=xl/sharedStrings.xml><?xml version="1.0" encoding="utf-8"?>
<x:sst xmlns:x="http://schemas.openxmlformats.org/spreadsheetml/2006/main">
  <x:si>
    <x:t xml:space="preserve">No.</x:t>
  </x:si>
  <x:si>
    <x:t xml:space="preserve">Becario</x:t>
  </x:si>
  <x:si>
    <x:t xml:space="preserve">Estado</x:t>
  </x:si>
  <x:si>
    <x:t xml:space="preserve">Año inicio</x:t>
  </x:si>
  <x:si>
    <x:t xml:space="preserve">Año fin</x:t>
  </x:si>
  <x:si>
    <x:t xml:space="preserve">Tema</x:t>
  </x:si>
  <x:si>
    <x:t xml:space="preserve">Institución </x:t>
  </x:si>
  <x:si>
    <x:t xml:space="preserve">Carrera</x:t>
  </x:si>
  <x:si>
    <x:t xml:space="preserve">Tutor Universidad</x:t>
  </x:si>
  <x:si>
    <x:t xml:space="preserve">Cotutor</x:t>
  </x:si>
  <x:si>
    <x:t xml:space="preserve">Acuerdo Beca</x:t>
  </x:si>
  <x:si>
    <x:t xml:space="preserve">Contraparte FONAG</x:t>
  </x:si>
  <x:si>
    <x:t xml:space="preserve">Contraparte EPMAPS</x:t>
  </x:si>
  <x:si>
    <x:t xml:space="preserve">Sistema estudio</x:t>
  </x:si>
  <x:si>
    <x:t xml:space="preserve">ACH estudio</x:t>
  </x:si>
  <x:si>
    <x:t xml:space="preserve">Objetivo del estudio</x:t>
  </x:si>
  <x:si>
    <x:t xml:space="preserve">Resultados esperados</x:t>
  </x:si>
  <x:si>
    <x:t xml:space="preserve">Área específica de estudio (Escala de Monitoreo)</x:t>
  </x:si>
  <x:si>
    <x:t xml:space="preserve">Metodología</x:t>
  </x:si>
  <x:si>
    <x:t xml:space="preserve">Hallazgos y Conclusiones</x:t>
  </x:si>
  <x:si>
    <x:t xml:space="preserve">Recomendaciones (lo que hace falta considerar o investigar)</x:t>
  </x:si>
  <x:si>
    <x:t xml:space="preserve">Campo de investigación específico</x:t>
  </x:si>
  <x:si>
    <x:t xml:space="preserve">Referencias a otros estudios que se han efectuado sobre el mismo tema en el ámbito de estudio</x:t>
  </x:si>
  <x:si>
    <x:t xml:space="preserve">Restauración de la cobertura vegetal</x:t>
  </x:si>
  <x:si>
    <x:t xml:space="preserve">Hidrología</x:t>
  </x:si>
  <x:si>
    <x:t xml:space="preserve">Hidrogeología</x:t>
  </x:si>
  <x:si>
    <x:t xml:space="preserve">Ecología de páramo</x:t>
  </x:si>
  <x:si>
    <x:t xml:space="preserve">Cambio climático y global</x:t>
  </x:si>
  <x:si>
    <x:t xml:space="preserve">Manejo de embalses</x:t>
  </x:si>
  <x:si>
    <x:t xml:space="preserve">Geología, Sismología y Vulcanología</x:t>
  </x:si>
  <x:si>
    <x:t xml:space="preserve">Análisis Socioeconómicos y Ambientales</x:t>
  </x:si>
  <x:si>
    <x:t xml:space="preserve">Economía Ecológica y Economía Ambiental</x:t>
  </x:si>
  <x:si>
    <x:t xml:space="preserve">Energía Renovable</x:t>
  </x:si>
  <x:si>
    <x:t xml:space="preserve">Línea prioritaria de investigación en ECAP según Encuestas</x:t>
  </x:si>
  <x:si>
    <x:t xml:space="preserve">Grado de aporte al conocimiento</x:t>
  </x:si>
  <x:si>
    <x:t xml:space="preserve">Grado de Implementación</x:t>
  </x:si>
  <x:si>
    <x:t xml:space="preserve">Necesidad de continuar investigando</x:t>
  </x:si>
  <x:si>
    <x:t xml:space="preserve">Indicador de Relevancia  Total</x:t>
  </x:si>
  <x:si>
    <x:t xml:space="preserve">Convenio de Investigación</x:t>
  </x:si>
  <x:si>
    <x:t xml:space="preserve">Insumos de campo o experimentales</x:t>
  </x:si>
  <x:si>
    <x:t xml:space="preserve">Insumos o análisis de Laboratorio</x:t>
  </x:si>
  <x:si>
    <x:t xml:space="preserve">Logística (movilididad, alimentación)</x:t>
  </x:si>
  <x:si>
    <x:t xml:space="preserve">Pago por avances, estipendio</x:t>
  </x:si>
  <x:si>
    <x:t xml:space="preserve">Varios (materiales, impresiones, etc)</x:t>
  </x:si>
  <x:si>
    <x:t xml:space="preserve">Imprevistos</x:t>
  </x:si>
  <x:si>
    <x:t xml:space="preserve">Aporte total ECAP (USD)</x:t>
  </x:si>
  <x:si>
    <x:t xml:space="preserve">Contraparte Universidad</x:t>
  </x:si>
  <x:si>
    <x:t xml:space="preserve">Andres Moreno
EPN, 2019</x:t>
  </x:si>
  <x:si>
    <x:t xml:space="preserve">Completada</x:t>
  </x:si>
  <x:si>
    <x:t xml:space="preserve">EVALUACIÓN DE LA EDAD DEL RESTO DE PODA DE LANTANA
CAMARA COMO MATERIAL DE EMPAQUE EN UN SISTEMA DE
BIOFILTRACIÓN PARA AGUAS RESIDUALES DOMÉSTICAS</x:t>
  </x:si>
  <x:si>
    <x:t xml:space="preserve">EPN</x:t>
  </x:si>
  <x:si>
    <x:t xml:space="preserve">Ingeniería Ambiental</x:t>
  </x:si>
  <x:si>
    <x:t xml:space="preserve">Nathalia Valencia</x:t>
  </x:si>
  <x:si>
    <x:t xml:space="preserve">FONAG-AC-005-2018</x:t>
  </x:si>
  <x:si>
    <x:t xml:space="preserve">Laboratorio EPN: Agua residual doméstica de la Facultad de Ingeniería Civil y Ambiental</x:t>
  </x:si>
  <x:si>
    <x:t xml:space="preserve">Evaluar la influencia de  edad del resto de poda de Lantana cámara como material de empaque en un sistema de biofiltración para tratamiento de aguas residuales domésticas, comporando los porcentajes de remoción de DQO obtenidos</x:t>
  </x:si>
  <x:si>
    <x:t xml:space="preserve">Agua residual generada en la Facultad de Ingeniería Civil y Ambiental (FICA) de la EPN</x:t>
  </x:si>
  <x:si>
    <x:t xml:space="preserve">Se utilizan 4 reactores a escala laboratorio empacados con material previamente acondicionado, con base en la edad del resto de poda: material grueso con y sin espinas, material fino con y sin espinas, alimentados con el agua residual generada en la FICA de la EPN. Métodos: 1) Acondicionamiento del material de empaque, 2) compactación, 3) estabilización, 4) monitoreo</x:t>
  </x:si>
  <x:si>
    <x:t xml:space="preserve">Este tratamiento es una alternativa que se propone cuando no pueden conectarse directamente a sistemas de alcantarillado. El parámetro de monitoreo es la DQO, controlando adicionalmente parámetros de funcionamiento del sistema: temperatura, pH, color y turbidez en el efluente. Una vez finalizada la etapa experimental, se concluye que el material fino sin espinos presenta la mayor eficiencia de remoción de la DQO (60.59%). Adicionalmente, se evaluó la capacidad de remoción de coliformes fecales, donde el reactor más eficiente fue el empacado con material fino con espinos (21.93%). </x:t>
  </x:si>
  <x:si>
    <x:t xml:space="preserve">Calidad de Aguas residuales: Tratamiento de efluentes domésticos que son descargados directamente a cuerpos de agua, diminución de costos de tratamiento</x:t>
  </x:si>
  <x:si>
    <x:t xml:space="preserve">X</x:t>
  </x:si>
  <x:si>
    <x:t xml:space="preserve">El estudiante construyó el mismo sistema de biofiltración, se utilizaron los laboratorios de la Universidad</x:t>
  </x:si>
  <x:si>
    <x:t xml:space="preserve">Andres Yar y Andrea López
EPN, 2019</x:t>
  </x:si>
  <x:si>
    <x:t xml:space="preserve">ANÁLISIS DE LA CONCENTRACIÓN Y DISTRIBUCIÓN ESPACIAL
DE PARÁMETROS FÍSICOS EN EL EMBALSE LA MICA</x:t>
  </x:si>
  <x:si>
    <x:t xml:space="preserve">FONAG-AC-003-2018</x:t>
  </x:si>
  <x:si>
    <x:t xml:space="preserve">LA MICA - QUITO SUR </x:t>
  </x:si>
  <x:si>
    <x:t xml:space="preserve">Antisana</x:t>
  </x:si>
  <x:si>
    <x:t xml:space="preserve">Evaluar la distribución espacial y temporal actual de los parámetros físicos (clorofila-a, oxígeno disuelto, pH, transparencia de Secchi, turbidez, color, conductividad, contenido de sólidos y temperatura) en el embalse de La Mica (datos históricos y campañas de muestreo) y determinar el factor predominante en la pérdida de transparencia del embalse en función de los datos de Clorofila-a,  e identificación de eventos extraordinarios y de estratificación térmica (1998-2015), y contribuir con la información del comportamiento de embalses tropicales alto andinos</x:t>
  </x:si>
  <x:si>
    <x:t xml:space="preserve">Embalse La Mica</x:t>
  </x:si>
  <x:si>
    <x:t xml:space="preserve">Se evalúan los registros históricos de parámetros físico-químicos y biológicos de calidad del agua de tributarios, dique y centro del embalse La Mica. Se crean isolíneas anuales de los parámetros mediante el software Surfer 15 con los datos del punto centro del embalse. Se realizan siete campañas de muestreo en 15 puntos a diferentes profundidades del embalse (0.5, 5, 10m) en base a la batimetría del año 2007, distribuidos en todo el embalse, se consideró además la ubicación de los tributarios para evidenciar la distribución de los parámetros físico-químicos en la zona de mezcla. El análisis de calidad del agua de los muestreos se realiza en tres laboratorios (LDIA, CICAM, PTAP Bellavista). Se elaboran gráficas 3D en Arc Gis Pro para la visualización de la distribución de las concentraciones de los parámetros.</x:t>
  </x:si>
  <x:si>
    <x:t xml:space="preserve">Del análisis de los datos, se identificaron eventos atípicos durante el periodo de análisis. El 72% de los años, entre 1998 y 2015, han mantenido una temperatura promedio anual de 10.7 °C. Las menores temperaturas ocurren de junio a octubre. En el embalse existen leves estratificaciones términas (noviembre a mayo), con una termoclina ubicada entre los 15 y 20 m, de los meses de junio a octurbre existe mezcla completa en el embalse.  La clorofila-a no muestra un comportamiento constante, con picos en 2003 y 2011, y valles en 2000 y 2014. La disminución de transparencia está influenciada por las concentraciones de clorafila-a, cuyas concentraciones más altas (9.4 ug/L) están en el punto 2 en el Dique. Los valores de conductividad más altos están en el centro del embalse y disminuyen hacia el dique y la cola del embalse.  El color ha disminuido sus valores con un promedio de 20 UC. Las concentraciones más altas de sólidos totales y sólidos totales volátiles son en las zonas ceranas a la orillas. Es importante incluir en el monitoreo los puntos 10 (valores más altos de Temperatrua y OD, más bajos de pH y Chl-a)  debido a la influencia de la calidad del agua de los tributarios y el 11 (alta variación de concentraciones de OD, sólidos totales fijos, turbidez, clorofila-a). Embalse muestra características de mezcla completa.</x:t>
  </x:si>
  <x:si>
    <x:t xml:space="preserve">Realizar un estudio de calidad de agua de los tributarios para conocer su influencia en los parámetros del embalse. Incorporar los puntos 10 y 11 a la red de monitoreo de EPMAPS. Programa de control y monitoreo debe ser realizado mensualmente durante todo el año. Establecer programas de pesca deportiva contolados. Relacionar los datos meteorológicos de estaciones cercanas con las campañas de muestreos mensuales para justificar eventos atípicos. Para el análisis de la clorofila-a se recomienda considerar el método modificado de Nusch, más eficiente para los sistemas dulceacuícolas. </x:t>
  </x:si>
  <x:si>
    <x:t xml:space="preserve">Calidad del agua: Embalse La Mica, parámetros físicos y biológicos.</x:t>
  </x:si>
  <x:si>
    <x:t xml:space="preserve">Muestreo por parte de los becarios, análisis de laboratorio se realizaron en CICAM (laboratorio de la Universidad)</x:t>
  </x:si>
  <x:si>
    <x:t xml:space="preserve">Ariatna Villarreal
PUCE, 2019</x:t>
  </x:si>
  <x:si>
    <x:t xml:space="preserve">Caracterización del uso de hábitat de tres especies de roedores en páramos de la Reserva Ecológica Antisana.
Artículo cientiífico: DOI 10.1080/23766808.2022.2132023</x:t>
  </x:si>
  <x:si>
    <x:t xml:space="preserve">PUCE</x:t>
  </x:si>
  <x:si>
    <x:t xml:space="preserve">Licenciatura Ciencias Biológicas</x:t>
  </x:si>
  <x:si>
    <x:t xml:space="preserve">Santiago Burneo</x:t>
  </x:si>
  <x:si>
    <x:t xml:space="preserve">FONAG-AC-002-2018 </x:t>
  </x:si>
  <x:si>
    <x:t xml:space="preserve">Caracterizar el uso del hábitat de roedores en paramos del volcán Antisana, a través de la identificación de especies roedores asociadas a distintas coberturas vegetales, el rastreo de patrones de actividad y desplazamiento que infieren en la preferencia de hábitat de las especies de roedores en la Reserva Ecológica Antisana.</x:t>
  </x:si>
  <x:si>
    <x:t xml:space="preserve">Reserva Ecológica Antinsana, Área de Conservación Hídrica Antisana (ACH-A) (20000 ha de protección)</x:t>
  </x:si>
  <x:si>
    <x:t xml:space="preserve">Se delimitaron 4 transectos (Avioneta, Chusalongo, Ladera, Chuquiraga) donde se analizó la composición florística individual y se colocaron trampas vivas tipo Sherman para el muestreo y captura de roedores. Los roedores capturados fueron sometidos al método de bobina e hilo para registrar los recorridos por medio de caminatas con receptores GPS. En los recorridos se tomaron fotografías relevantes del entorno y se registró la actvidad relacionada con el uso del espacio.</x:t>
  </x:si>
  <x:si>
    <x:t xml:space="preserve">Se identificaron 3 especies de roedores: Akodon mollis, Phyllotis haggardi y Thomasomys paramorum, solapándose en rangos de vida, pero con ciertas preferencias al pajonal y arbustal, áreas abiertas con almohadillas y pajonal, áreas mixtas de pajonal y arbustal, respectivamente. Todos los individuos presentaron sitios de uso común como nidos, comederos y refugios. Se pudo detallar los materiales de construcción y morfología de nidos, los recursos alimenticios usados por los roedores y las áreas de refugio temporales usadas durante el forrajeo, además de notas ecológicas de interés para las tres especies mencionadas. Los roedores dentro de este estudio utilizan los recursos compartidos de múltiples maneras, evitando la competencia directa por medio de la diferenciación de su hábitat.</x:t>
  </x:si>
  <x:si>
    <x:t xml:space="preserve">Los datos señalan una preferencia de hábitat diferencial por parte de las tres especies, que requiere ser confirmada debido a que no en todas las especies se alcanzó una significancia estadística por el bajo número de muestra. Se recomienda realizar estudios que profundicen la dieta de estos roedores a lo largo del año, para verificar si utilizan los mismos recursos alimenticios o si cambian dependiendo del ciclo anual. Analizar cómo estas especies interactúan dentro de las redes ecológicas de interacción a nivel de comunidad y definir su función ecológica particular.</x:t>
  </x:si>
  <x:si>
    <x:t xml:space="preserve">Flora y Fauna</x:t>
  </x:si>
  <x:si>
    <x:t xml:space="preserve">Trampas para muestreo, colecciones de especies en laboratorio para facilitar la  identificación,</x:t>
  </x:si>
  <x:si>
    <x:t xml:space="preserve">Cristian Guzman
YACHAY, 2021</x:t>
  </x:si>
  <x:si>
    <x:t xml:space="preserve">Presence of Myxoma Virus and Rabbit Hemorrhagic Disease Virus in Sylvilagus andinus in the Antisana Hydrological Conservation Area</x:t>
  </x:si>
  <x:si>
    <x:t xml:space="preserve">YACHAY</x:t>
  </x:si>
  <x:si>
    <x:t xml:space="preserve">Tellkamp Tietz Markus</x:t>
  </x:si>
  <x:si>
    <x:t xml:space="preserve">Estudiar los factores que pueden afectar la la población de Sylvilagus andinus (conejo andino), en particular, dos de los virus más importantes que afectan a los conejos son el virus del Mixoma y el virus de la Enfermedad hemorrágica del conejo, que causan las enfermedades mortales Mixomatosis y Enfermedad hemorrágica del conejo, respectivamente, en conejos domésticos y silvestres del género Oryctolagus.</x:t>
  </x:si>
  <x:si>
    <x:t xml:space="preserve">Reserva Ecológica Antinsana, Área de Conservación Hídrica Antisana (ACH-A), junto a la "Casa Humbolt" y la "Casa Antisana".</x:t>
  </x:si>
  <x:si>
    <x:t xml:space="preserve">Sylvilagus andinus(conejo andino) es una de las especies de mamíferos nativas más comunes en el área de amortiguamiento dela Reserva Ecológica Antisana, su población influye en la estabilidad ecológica de los páramos Andinos. Se realizaron dos transectos de 500 m para capturar a los especímenes, muestras de sangre y moco. Otro transecto de 2000 m se utilizó para buscar conejos muertos y recolectar muestras de tejido necrótico. Se usó un ensayo de reacción en cadena de la polimerasa (PCR) convencional para detectar la presencia del virus del Mixoma a través delgen M000.5L / R, y un ensayo de reacción en cadena de lapolimerasa con transcripción inversa (RT-PCR) para identificar la presencia del virus de la Enfermedad hemorrágica del conejoa través del gen VP60,en muestras obtenidas de conejos silvestres capturados.</x:t>
  </x:si>
  <x:si>
    <x:t xml:space="preserve">Posibilidad de que la Mixomatosis y/o la Enfermedad hemorrágica del conejo afecten la dinámica poblacional del conejo andino, pero también la posibilidad de que los conejos domésticos cercanos a los páramos contraigan estas enfermedades.</x:t>
  </x:si>
  <x:si>
    <x:t xml:space="preserve">Se necesitan más muestras para análisis moleculares y se debe realizar una evaluación poblacional de Sylvilagus andinus para saber si la presencia de estos patógenos afecta el número de individuos en las poblaciones.</x:t>
  </x:si>
  <x:si>
    <x:t xml:space="preserve">Fauna</x:t>
  </x:si>
  <x:si>
    <x:t xml:space="preserve">Uso de laboratorio especializado en genética de la Universidad YACHAY</x:t>
  </x:si>
  <x:si>
    <x:t xml:space="preserve">Daniel Guachamin y Jonathan Cabascango, EPN, 2018</x:t>
  </x:si>
  <x:si>
    <x:t xml:space="preserve">ESTUDIO DE LA INFLUENCIA DE LA MORFOLOGÍA DEL
EMBALSE SALVE FACCHA EN SU ESTADO TRÓFICO ACTUAL</x:t>
  </x:si>
  <x:si>
    <x:t xml:space="preserve">SISTEMA PAPALLACTA INTEGRADO</x:t>
  </x:si>
  <x:si>
    <x:t xml:space="preserve">Embalse Salve Faccha</x:t>
  </x:si>
  <x:si>
    <x:t xml:space="preserve">Analizar la influencia de la morfología del embalse Salve Faccha en el estado trófico actual del embalse, utilizando parámetros morfométricos y su interpretación, y la información registrada en monitoreos periódicos realizados por la EPMAPS durante el periodo 2007-2017. Evaluar los cambios en la batimetría y estado trófico, caracterizar la estructura física del embalse (parámetros morfométricos) y definir el nivel de trofía a través del Índice de Estado Trófico Modificado y valores límites de la OCDE.</x:t>
  </x:si>
  <x:si>
    <x:t xml:space="preserve">Levantamiento batimétrico realizado mediante la ecosonda RiverSurveyor M9. Con esta información se procede al cálculo de los parámetros morfométricos superficiales y subsuperficiales del embalse (longitud máxima, ancho máximo, ancho medio, área, volumen, profundida máxima, profundidad media, profundiad relativa, línea costera, desarrollo de línea costera, curva hispsográfica, curva profundiad vs volumen. Adicionalmente, se realiza una caracterización de la calidad del agua que incluye: temperatura, pH, conductividad y oxígeno disuelto; transparencia, y la recolección de muestras para el análisis de: fósforo total, nitrógeno total y clorofila-a. </x:t>
  </x:si>
  <x:si>
    <x:t xml:space="preserve"> La comparación de la batimetría actualizada con el último registro disponible (2007), permitió conocer que para el 2017 el volumen del embalse se ha reducido en un 3%. Se trata de un cuerpo de agua mayoritariamente plano y de muy poca profundidad en las zonas riberinas, la zona lacustre por debajo de la cota que determina su volumen útil ha perdido un 16.5% del volumen del agua, aquíe se concentra el 91% de la pérdida de capacidad volumétrica que ha sufrido el embalse en 10 años. Las bajas profundidades en la zona riberina y un mayor contacto de los sedimentos con el agua aumentan la disponibilidad de nutrientes. El análisis de calidad del agua y parámetros morfométricos sugieren que presenta características alcalinas, con mayor presencia de carbonatos y bicarbonatos, niveles de oxígeno se mantienen dentro del rango óptimo para el desarrollo de actividades biológicas y para el consumo humano. Por otra parte, los resultados obtenidos del análisis de calidad del agua, procesados con el Índice de Estado Trófico Modificado (IETM) de Toledo Jr. y los criterios de la Organización para la Cooperación y el Desarrollo Económicos (OCDE), permiten estimar un estado eutrófico del embalse. El cambio alrededor del tamaño del embalse influye de manera directa con su calidad del agua. Finalmente, se propone una ecuación para determinar el volumen de agua captado en función de la cota del embalse, como una herramienta con fines operacionales.</x:t>
  </x:si>
  <x:si>
    <x:t xml:space="preserve">Realizar un estudio espacial de la distribución de parámetros físico-químicos y nutrientes, incrementando los puntos de monitoreo actuales, así como estudios de afloramientos de aguas subterráneas. Realizar estudios morfológicos con mayor frecuencia, para tener una mejor correlación con los parámetros de calidad del embalse. Realizar una caracterización física de los tributarios, estudios de balance de masa de nutrientes y análisis de procesos de sedimentación que abarquen la cuenca del embalse. </x:t>
  </x:si>
  <x:si>
    <x:t xml:space="preserve">Morfología, morfometría, calidad del agua</x:t>
  </x:si>
  <x:si>
    <x:t xml:space="preserve">Charro (2002),  Flores (2014)</x:t>
  </x:si>
  <x:si>
    <x:t xml:space="preserve">Uso de laboratorio de Universidades</x:t>
  </x:si>
  <x:si>
    <x:t xml:space="preserve">Dominique vargas
ESPE, 2021</x:t>
  </x:si>
  <x:si>
    <x:t xml:space="preserve">Flujo génico entre poblaciones de Polylepis incana Kunth. y P. racemosa Ruiz &amp; Pav. del Área de Conservación de Paluguillo en la “Estación Científica Agua y Páramo” en Pichincha</x:t>
  </x:si>
  <x:si>
    <x:t xml:space="preserve">ESPE</x:t>
  </x:si>
  <x:si>
    <x:t xml:space="preserve">Ingeniería en Biotecnología</x:t>
  </x:si>
  <x:si>
    <x:t xml:space="preserve">María Claudia Segovia</x:t>
  </x:si>
  <x:si>
    <x:t xml:space="preserve">Paluguillo</x:t>
  </x:si>
  <x:si>
    <x:t xml:space="preserve">Determinar si existe flujo génico entre poblaciones de Polylepis incana Kunth. y P. racemosa Ruiz &amp; Pav. mediante técnicas moleculares. Implementar protocolos para la obtención de ADN, realizar el genotipaje, determinar la diversidad genética y definir potenciales híbridos.</x:t>
  </x:si>
  <x:si>
    <x:t xml:space="preserve">Área de Conservación Hídrica de Paluguillo (800 ha)</x:t>
  </x:si>
  <x:si>
    <x:t xml:space="preserve">Se utilizaron ocho cebadores ISSRs en tres poblaciones de cada especie y se realizaron análisis de genética poblacional. Adicionalmente se determinó la variación de la forma de las hojas completas en dos poblaciones de cada especie mediante Morfometría Geométrica.</x:t>
  </x:si>
  <x:si>
    <x:t xml:space="preserve">Los resultados muestran que hay una baja variabilidad genética en todas las poblaciones. Adicionalmente se evidencia intercambio de genes entre las dos especies; sin embargo, no se identificaron híbridos. La morfología de las hojas en ambas especies es similar. De igual manera, no se encontró correspondencia entre los análisis morfométricos y los análisis genéticos. Se concluyó que el flujo génico entre las poblaciones examinadas está presente en apenas 0,9 individuos por generación. Se obtuvo información exploratoria sobre el efecto genético de P. racemosa sobre P. incana, para contribuir en el manejo y conservación del páramo.</x:t>
  </x:si>
  <x:si>
    <x:t xml:space="preserve">Implementar análisis con enfoques multigeneracionales para describir la estructura poblacional actual y el flujo de genes reciente. Realizar ensayos para determinar la distancia a la que el polen y semillas puede propagarse por el viento. Explorar nuevas metodologías para establecer hitos morfológicos en hojas P. incana y P. recemosa. Extender el estudio de variación de la forma a otros órganos que sean menos plásticos que las hojas de Polylepis para conocer si se correlacionan con análisis genéticos.</x:t>
  </x:si>
  <x:si>
    <x:t xml:space="preserve">Flora </x:t>
  </x:si>
  <x:si>
    <x:t xml:space="preserve">Laboratorios de Biología Molecular, experiencia de los tutores en genética ambiental. La universidad cubrió la movilización</x:t>
  </x:si>
  <x:si>
    <x:t xml:space="preserve">Felipe Castillo
UI SEK, 2017</x:t>
  </x:si>
  <x:si>
    <x:t xml:space="preserve">DETERMINACIÓN DE PERÍMETROS DE PROTECCIÓN PARA LAS
CAPTACIONES DE AGUA SUBTERRÁNEA DE LOS SISTEMAS
ACUÍFEROS DEL DISTRITO METROPOLITANO DE QUITO COMO
HERRAMIENTA DE GESTIÓN DEL RECURSO HÍDRICO”</x:t>
  </x:si>
  <x:si>
    <x:t xml:space="preserve">UNIVERSIDAD INTERNACIONAL SEK</x:t>
  </x:si>
  <x:si>
    <x:t xml:space="preserve">Ingeniería Ambiental	</x:t>
  </x:si>
  <x:si>
    <x:t xml:space="preserve">Miguel Martínez</x:t>
  </x:si>
  <x:si>
    <x:t xml:space="preserve">Sistema acuífero del DMQ. Los pozos de estudio se encuentran en 5 de los 6 sistemas acuíferos: Acuífero Centro-Norte, Sur, San Antonio de Pichincha, Cumbaya-Tumbaco y Pifo</x:t>
  </x:si>
  <x:si>
    <x:t xml:space="preserve">Determinar las zonas de mayor vulnerabilidad a la contaminación, diseñar los perímetros de protección para los pozos de producción de la EPMAPS de los sistemas acuíferos del DMQ y proponer miedidas de control en relación al manejo de los pozos de captación de agua subterránea.</x:t>
  </x:si>
  <x:si>
    <x:t xml:space="preserve">30 pozos de producción que aportan al abastecimiento de agua de la EPMAPS, ubicados en la zona urbana ya consolidada del DMQ</x:t>
  </x:si>
  <x:si>
    <x:t xml:space="preserve">Se estudiaron 30 pozos de captación de agua subterránea, 5 de los cuales se ubican en zonas rurales. Se utilizó el método DRASTIC para evaluar la vulnerabilidad y elaborar los respectivos mapas. Se consideraron 7 variables hidrogeológicas: D (profundidad del nivel piezométrico), R (recarga), A (litología del acuífero), S (naturaleza del suelo), T (pendiente del terreno), I (naturaleza de la zonano saturada) y C (conductividad hidráulica). Se comparan los resultados con un estudio previo que aplicó la metodología GOD (Groundwater ocurence, Overall aquifer class, Depth) (Galeano, 2016) para evaluar la vulnerabilidad a la contaminación en función de 3 parámetros: grado de confinamiento hidráulico, ocurencia del sustrato suprayacente y distancia al nivel del agua. Para el diseño de los perímetros de protección se utiliza el método Wyssling y de Jacobs &amp; Bear, ya que utiliza parámetros que han sido medidos y monitoreados por EPMAPS.</x:t>
  </x:si>
  <x:si>
    <x:t xml:space="preserve">Se obtuvieron cinco categorías de vulnerabilidad a la contaminación, con un 2.3% de la zona de estudio en la categoría muy bajo, 40.2% en la categoría bajo, 34.9% moderado, 15.1% alto y 7.5%  muy alto, esto significa 1886.6 hectáreas de baja vulnerabilidad a la contaminación y 707.46 hectáreas de alta vulnerabilidad. La Recarga es la variable de mayor incidencia para el índice DRASTIC de vulnerabilidad, seguida por la litología del acuífero y por la geología del suelo. Las zonas de mayor vulnerabilidad se encuentran en el sector de San José del Inca, la Magdalena, la Santiago, el Pintado, Solanda y las Cuadras donde predominan los suelos arenosos y arcillosos y un porcentaje de mayor precipitación. Se definieron los perímetros de protección de los pozos, sin embargo, por medio de visitas técnicas se constató que ningún pozo cumple con todas las características necesarias de los perímetros calculados por esta investigación. Por la ubicación de los pozos en zonas urbanas, se dificulta la restricción o prohibición de actividades que pueden ser posibles fuentes de contaminación del recurso hídrico, no obstante, se dispone de un herramienta para que EPMAPS pueda realizar un mayor control en las zonas de mayor sensibilidad.</x:t>
  </x:si>
  <x:si>
    <x:t xml:space="preserve">Identificar pérdidas en el servicio de alcantarillado alrededor de los pozos, correcto mantenimiento de las vías y una adecuada impermeabilización de las zonas cercanas a las captaciones de aguas subterráneas.  Realizar un seguimiento permanente de las variables hidrogeológicas de los sistemas acuíferos del DMQ, para conocer mejor el comportamiento y su evolución a través del tiempo. Mantenimiento permanente de las instalaciones, realizar una limpieza en la zonas cercanas a los pozos, reemplazar los candados.  </x:t>
  </x:si>
  <x:si>
    <x:t xml:space="preserve">Aguas Subterráneas</x:t>
  </x:si>
  <x:si>
    <x:t xml:space="preserve">Teresa Muñoz (EPN, 2005), Angélica Peñafiel (EPN, 2009), Juan Sebastián Galeano (UISEK, 2016), Ríos-Sánchez et al. (2012), Parreño et al. (2009)</x:t>
  </x:si>
  <x:si>
    <x:t xml:space="preserve">UISEK</x:t>
  </x:si>
  <x:si>
    <x:t xml:space="preserve">Gabriel Saenz
PUCE, 2019</x:t>
  </x:si>
  <x:si>
    <x:t xml:space="preserve">Evaluación de la respuesta fenológica y morfológica de 13 especies de plantas de páramo ante un calentamiento experimental</x:t>
  </x:si>
  <x:si>
    <x:t xml:space="preserve">Erika Muriel</x:t>
  </x:si>
  <x:si>
    <x:t xml:space="preserve">Evaluar la variación fenológica y morfológica de 13 especies de plantas de páramo bajo los efectos del calentamiento experimental en los páramos del Volcán Antisana. Evaluar su efecto en la estacionalidad reproductiva, en la abundancia, en los ragasgos funcionales. Establecer una línea base fenológica y morfológica de las especies de estudio.</x:t>
  </x:si>
  <x:si>
    <x:t xml:space="preserve">Parte noroccidental del volcán a 4600 msnm, donde se sitúan las parcelas de monitoreo de vegetación y manipulación experimental del proyecto "Monitoreo de Impacto del Cambio Climático en los Altos Andes (MICCAA) Muriel et al. 2018 (5 bloques de experimentación de 35 x 12 m)</x:t>
  </x:si>
  <x:si>
    <x:t xml:space="preserve">Se definieron la fenología reproductiva y los rasgos funcionales ( área específica y grosor de la hoja, y altura de la planta) de 13 especies, mediante un monitoreo continuo de un año, en parcelas con cámaras de calentamiento artificial. Para el tratamiento de calentamiento artificial se usaron cámaras hexagonales descubiertas (OTC por sus siglas en inglés) construidas en policarbonato traslúcido (Molau yMølgaard, 1996). Se realizaron pruebas de estadística circular para el análisis de los monitoreos fenológicos y de análsis de variancia (ANOVA) para los datos morfológicos. </x:t>
  </x:si>
  <x:si>
    <x:t xml:space="preserve">No existe una sincronía entre los tiempos de floración y fructificación de las distintas especies seleccionadas. No se observaron desplazamientos fenológicos entre las plantas del tratamiento y del control, sin embargo, se observó una reducción en la cantidad de estructuras reproductivas producidas dentro de cámaras. Dentro del componente morfológico se observaron variaciones en los tres rasgos a lo largo del estudio, potencialmente relacionadas a la temperatura y precipitación. Las variaciones morfológicas fueron significativas dentro de cámaras, demostrando una alta sensibilidad de las plantas a incrementos en la temperatura. </x:t>
  </x:si>
  <x:si>
    <x:t xml:space="preserve">Se espera que este estudio sirva como una línea base sobre la fenología y morfología de las especies de páramo, y que permita esclarecer su interacción con la variación climática. Se proponen monitorear otras especies altoandinas en condiciones naturales, abordando diferentes páramos del Ecuador y en experimentos de largo plazo.</x:t>
  </x:si>
  <x:si>
    <x:t xml:space="preserve">Flora y cambio climático</x:t>
  </x:si>
  <x:si>
    <x:t xml:space="preserve">Muriel et al. 2018</x:t>
  </x:si>
  <x:si>
    <x:t xml:space="preserve">La Universidad construyó e instaló las 25 cámaras de calentamiento experimental e instaló los sensores de temperatura. ECAP básciamente cubrió logística y viáticos</x:t>
  </x:si>
  <x:si>
    <x:t xml:space="preserve">Henry Herrera
YACHAY, 2019</x:t>
  </x:si>
  <x:si>
    <x:t xml:space="preserve">Estimation of deer population by means of indirect methods: distance method, fecal accumulation rate, fecal standing crop at the Antisana Paramo in Ecuador</x:t>
  </x:si>
  <x:si>
    <x:t xml:space="preserve">Conocer el estado actual de la población del venado de cola blanca (Odocoileous virginianus) y comprender las interacciones ecológicas y sus efectos en el ecosistema, en la vegetación y por tanto los ciclos del agua y carboono en el páramo del ACH-A.</x:t>
  </x:si>
  <x:si>
    <x:t xml:space="preserve">Área de Conservación Hídrica Antisana (ACH-A) </x:t>
  </x:si>
  <x:si>
    <x:t xml:space="preserve">Se utilizaron cuatro métodos diferentes, uno directo y tres indirectos, para estimar la población de venados: Vantage Point Counts (VPCs), Fecal Standing Crop (FSC), Fecal Accumulation Rate (FAR) and Distance Sampling Method (DSM). El primer método mencionado proporcionó un tamaño mínimo de la población e información sobre la estructura por sexo y edad de los venados, mientras que los otros métodos proporcionaron estimaciones de abundancia y densidad del venado en cada hábitat representativo dentro de ACH-A.</x:t>
  </x:si>
  <x:si>
    <x:t xml:space="preserve">El método VPC estimó una población mínima de 760 venados de cola blanca dentro de ACH-A, con una densidad de venados de 7.91 venados/Km2 (668.55 venados en el ACH-A), el método FSC de 11.27 venados/Km2 (953.21 venados en el ACH-A) y el método DSM de 11.31 venados/Km2 (956.67) venados en elACH-A). Los hábitats más preferidos por el venado de cola blanca son la vegetación herbácea húmeda, seguida de la vegetación herbácea seca, mientras que los hábitats menos preferidos son los pastizales de páramo, las plantas en cojín, los páramos arbustivos y los suelos expuestos. Los métodos DSM y FSC son los más fiables; sin embargo, el método DSM es más rápido, no tiene que hacer suposiciones sólidas, permite que muchos grupos de gránulos pasen desapercibidos, permite buscar en grandes áreas y, por lo tanto, es el método más adecuado para monitorear las poblaciones de venados en el ACH-A en el futuro.
</x:t>
  </x:si>
  <x:si>
    <x:t xml:space="preserve">Se recomienda el método DSM  para monitorear las poblaciones de venados en el ACH-A en el futuro.</x:t>
  </x:si>
  <x:si>
    <x:t xml:space="preserve">Uso de laboratorios de Universidad para análisis de heces mediante métodos genéticos</x:t>
  </x:si>
  <x:si>
    <x:t xml:space="preserve">Josue Franco
PUCE, 2020</x:t>
  </x:si>
  <x:si>
    <x:t xml:space="preserve">Importancia  del rio glaciar en la diversificación de  comunidades de carabidos de altura, bajo un contexto de cambio climático”.</x:t>
  </x:si>
  <x:si>
    <x:t xml:space="preserve">Álvaro Barragán</x:t>
  </x:si>
  <x:si>
    <x:t xml:space="preserve">Evaluar la influencia de los ríos glaciares, el gradiente altitudinal y la estacionalidad en la composición de las comunidades de carábidos en el páramo del Antisana, bajo un contexto de cambio climático. </x:t>
  </x:si>
  <x:si>
    <x:t xml:space="preserve">Ladera suroccidental del volcán Antisana, en las cercanías del Río Crespo</x:t>
  </x:si>
  <x:si>
    <x:t xml:space="preserve">Se recolectaron carábidos utilizando dos metodologías: trampas Pitfall y búsqueda activa. Se establecieron cuatro puntos de muestreo a los 4200 y 4500 msnm, en áreas cercanas y lejanas al Río Crespo: alto cerca del río (AR), alto lejos de río (AL), bajo cerca del río (BR) y bajo lejos del río (BL). La fase de campo duró siete meses con períodos de recolección de muestras cada 15 días, desde junio hasta diciembre de 2018. Se recolectaron 2310 individuos de 16 especies. Se tomaron datos de temperatura y humedad del aire en los cuatro puntos de muestreo. En la fase de laboratorio se realizó un análisis de los datos y la identificación taxonómica de los especímenes para el análisis de diversidad y composición de comunidades. </x:t>
  </x:si>
  <x:si>
    <x:t xml:space="preserve">Los puntos de muestreo se localizaron en los límites del superpáramo mixto. En esta zona de confluencia de especies, se determinó al punto alto cerca del río (AR) como el más diverso, y junto con el punto alto lejos del río (AL) con el mayor recambio entre especies. La diversidad de especies de Carabidae aumenta con la altitud. A 4500 msnm tienen mayor riqueza y número de individuos por especie que a 4200 msnm. Los carábidos del páramo no son especies estacionales, por tanto, se pueden encontrar a lo largo de todo el año.  La riqueza de especies no tuvo variaciones considerables durante todo el muestreo, por lo tanto, los análisis se enfocaron en la abundancia de individuos por especie. La estacionalidad (temperatura y humedad relativa) no afectaría directamente la diversidad de Carabidae, pero las condiciones de microhábitat incidirían con mayor fuerza en el establecimiento de poblaciones. La movilización ascendente de poblaciones es la mayor evidencia de alteración ecosistémica por cambio climático. El Carabidae es un taxón amenazado con diferentes niveles de vulnerabilidad ya que están adaptados a un rango de temperatura, por lo que son poblaciones sensibles a la variación climática.</x:t>
  </x:si>
  <x:si>
    <x:t xml:space="preserve">Se recomienda establecer transectos cada 100 metros y un rango altitudinal más amplio. El registro de datos de microhábitats sería de mayor interés, poniendo énfasis en las fluctuaciones diarias, posiblemente más relevante para la fauna altoandina que los cambios estacionales superficiales.</x:t>
  </x:si>
  <x:si>
    <x:t xml:space="preserve">Fauna y cambio climático</x:t>
  </x:si>
  <x:si>
    <x:t xml:space="preserve">Movilización, disponibilidad de laboratorios (QCAZI),
insumos, experticia técnica y académica, recolección de
datos nuevos de interés para las instituciones becantes,
complemento de series de datos existentes</x:t>
  </x:si>
  <x:si>
    <x:t xml:space="preserve">Kelly Lopez
PUCE, 2019</x:t>
  </x:si>
  <x:si>
    <x:t xml:space="preserve">Identificación taxonómica de las especies de cianobacterias y microalgas del embalse Salve Faccha, perteneciente a la Red de Agua Potable Papallacta, Parque Nacional Cayambe-Coca, Cordillera Real del Ecuador</x:t>
  </x:si>
  <x:si>
    <x:t xml:space="preserve">Licenciatura en Microbiología</x:t>
  </x:si>
  <x:si>
    <x:t xml:space="preserve">Diana Astorga García</x:t>
  </x:si>
  <x:si>
    <x:t xml:space="preserve">Identificar taxonómicamente las microalgas y cianobacterias del embalse Salve Faccha, para la creación de una línea base para el seguimiento de la calidad trófica del ecosistema, la evaluación de los riesgos potenciales ligados a la presencia de determinadas especies, en términos de calidad de agua y/o problemas para las plantas de tratamiento y la creación de un atlas ficológico que permita una identificación rápida de los microrganismos del fictoplancton como biodindicadores.</x:t>
  </x:si>
  <x:si>
    <x:t xml:space="preserve">Las muestras de fitoplancton se tomaron a diferentes profundidades, en función de la profundidad del embalse al momento del monitoreo (una vez por mes, de mayo a agosto) y también en los seis tributarios. Se tomaron, además, muestras de arrastre con una red de fitoplancton de 24 μm de poro. La identificación taxonómica se realizó mediante visualización directa al microscopio, con claves taxonómicas y, en el caso de cianobacterias, mediante su caracterización en medios de cultivo específicos. Con la información generada, se elabora un atlas taxonómico de las especies encontradas en el embalse.</x:t>
  </x:si>
  <x:si>
    <x:r>
      <x:t xml:space="preserve">Se identificaron 38 taxones en el embalse Salve Faccha, 32 mediante visualización directa y seis mediante cultivo. El estado trófico del embalse Salve Faccha se encontraría entre mesotrófico y eutrófico, con altas probabilidades de seguir enriqueciéndose y tendencia a hipereutrófico. La predominancia de clorofitas, diatomeas y cianobacterias en contraste con la baja cantidad de crisofitas y criptofitas indican que el ecosistema esté en un proceso de enriquecimiento (presencia de </x:t>
    </x:r>
    <x:r>
      <x:rPr>
        <x:i/>
        <x:sz val="11"/>
        <x:rFont val="Calibri"/>
        <x:family val="2"/>
        <x:scheme val="minor"/>
      </x:rPr>
      <x:t xml:space="preserve">Dolichspermum sp</x:t>
    </x:r>
    <x:r>
      <x:rPr>
        <x:sz val="11"/>
        <x:rFont val="Calibri"/>
        <x:family val="2"/>
        <x:scheme val="minor"/>
      </x:rPr>
      <x:t xml:space="preserve">., </x:t>
    </x:r>
    <x:r>
      <x:rPr>
        <x:i/>
        <x:sz val="11"/>
        <x:rFont val="Calibri"/>
        <x:family val="2"/>
        <x:scheme val="minor"/>
      </x:rPr>
      <x:t xml:space="preserve">Ulnaria ulna</x:t>
    </x:r>
    <x:r>
      <x:rPr>
        <x:sz val="11"/>
        <x:rFont val="Calibri"/>
        <x:family val="2"/>
        <x:scheme val="minor"/>
      </x:rPr>
      <x:t xml:space="preserve">, </x:t>
    </x:r>
    <x:r>
      <x:rPr>
        <x:i/>
        <x:sz val="11"/>
        <x:rFont val="Calibri"/>
        <x:family val="2"/>
        <x:scheme val="minor"/>
      </x:rPr>
      <x:t xml:space="preserve">Euglena sp</x:t>
    </x:r>
    <x:r>
      <x:rPr>
        <x:sz val="11"/>
        <x:rFont val="Calibri"/>
        <x:family val="2"/>
        <x:scheme val="minor"/>
      </x:rPr>
      <x:t xml:space="preserve">., </x:t>
    </x:r>
    <x:r>
      <x:rPr>
        <x:i/>
        <x:sz val="11"/>
        <x:rFont val="Calibri"/>
        <x:family val="2"/>
        <x:scheme val="minor"/>
      </x:rPr>
      <x:t xml:space="preserve">Trachelomonas volvocina</x:t>
    </x:r>
    <x:r>
      <x:rPr>
        <x:sz val="11"/>
        <x:rFont val="Calibri"/>
        <x:family val="2"/>
        <x:scheme val="minor"/>
      </x:rPr>
      <x:t xml:space="preserve"> y </x:t>
    </x:r>
    <x:r>
      <x:rPr>
        <x:i/>
        <x:sz val="11"/>
        <x:rFont val="Calibri"/>
        <x:family val="2"/>
        <x:scheme val="minor"/>
      </x:rPr>
      <x:t xml:space="preserve">Closteriym acerosum</x:t>
    </x:r>
    <x:r>
      <x:rPr>
        <x:sz val="11"/>
        <x:rFont val="Calibri"/>
        <x:family val="2"/>
        <x:scheme val="minor"/>
      </x:rPr>
      <x:t xml:space="preserve">).  La temperatura actual del ecosistema se encuentra entre los 8 y 16 ºC, el aumento de temperatura registrado es de 0,34 °C por década y la temperatura ideal del desarrollo para las cianobacterias se encuentra entre 20 y 25 ºC, por tanto, bajo escenarios de cambio climático se podrían producir potenciales floraciones algales y la producción de metabolitos secundarios como las cianotoxinas. </x:t>
    </x:r>
    <x:r>
      <x:rPr>
        <x:i/>
        <x:sz val="11"/>
        <x:rFont val="Calibri"/>
        <x:family val="2"/>
        <x:scheme val="minor"/>
      </x:rPr>
      <x:t xml:space="preserve">Dolichospermum sp</x:t>
    </x:r>
    <x:r>
      <x:rPr>
        <x:sz val="11"/>
        <x:rFont val="Calibri"/>
        <x:family val="2"/>
        <x:scheme val="minor"/>
      </x:rPr>
      <x:t xml:space="preserve">., es la única especie de cianobacteria planctónica que se encuentra ampliamente distribuida en el embalse y que se recomienda monitorear.  Finalmente se desarrolla un atlas taxonómico de microalgas y cianobacterias que facilita la gestión de planes que orienten a la prevención de riesgos relacionados con la eutrofización del embalse o potenciales problemas operativos en los que intervengan estos microorganismos. </x:t>
    </x:r>
  </x:si>
  <x:si>
    <x:r>
      <x:t xml:space="preserve">Existen especies de cianobacterias, que gracias a su capacidad de permanecer en latencia ante condiciones desfavorables podrían desarrollarse y dar paso a nuevas especies que deberían ser tomadas en cuenta: </x:t>
    </x:r>
    <x:r>
      <x:rPr>
        <x:i/>
        <x:sz val="11"/>
        <x:rFont val="Calibri"/>
        <x:family val="2"/>
        <x:scheme val="minor"/>
      </x:rPr>
      <x:t xml:space="preserve">Anabaena sp</x:t>
    </x:r>
    <x:r>
      <x:rPr>
        <x:sz val="11"/>
        <x:rFont val="Calibri"/>
        <x:family val="2"/>
        <x:scheme val="minor"/>
      </x:rPr>
      <x:t xml:space="preserve">. y</x:t>
    </x:r>
    <x:r>
      <x:rPr>
        <x:i/>
        <x:sz val="11"/>
        <x:rFont val="Calibri"/>
        <x:family val="2"/>
        <x:scheme val="minor"/>
      </x:rPr>
      <x:t xml:space="preserve"> Cylindrospermum s</x:t>
    </x:r>
    <x:r>
      <x:rPr>
        <x:sz val="11"/>
        <x:rFont val="Calibri"/>
        <x:family val="2"/>
        <x:scheme val="minor"/>
      </x:rPr>
      <x:t xml:space="preserve">., especies de naturaleza perifítica, que podrían encontrarse principalmente en los aportantes del embalse y, si bien no son capaces de producir floraciones algales, podrían producir toxinas que afecten la calidad del agua del ecosistema. También resulta indispensable monitorear a </x:t>
    </x:r>
    <x:r>
      <x:rPr>
        <x:i/>
        <x:sz val="11"/>
        <x:rFont val="Calibri"/>
        <x:family val="2"/>
        <x:scheme val="minor"/>
      </x:rPr>
      <x:t xml:space="preserve">Anabaenopsis</x:t>
    </x:r>
    <x:r>
      <x:rPr>
        <x:sz val="11"/>
        <x:rFont val="Calibri"/>
        <x:family val="2"/>
        <x:scheme val="minor"/>
      </x:rPr>
      <x:t xml:space="preserve"> </x:t>
    </x:r>
    <x:r>
      <x:rPr>
        <x:i/>
        <x:sz val="11"/>
        <x:rFont val="Calibri"/>
        <x:family val="2"/>
        <x:scheme val="minor"/>
      </x:rPr>
      <x:t xml:space="preserve">arnoldii</x:t>
    </x:r>
    <x:r>
      <x:rPr>
        <x:sz val="11"/>
        <x:rFont val="Calibri"/>
        <x:family val="2"/>
        <x:scheme val="minor"/>
      </x:rPr>
      <x:t xml:space="preserve">, de naturaleza planctónica, que es capaz de intervenir en floraciones algales nocivas.</x:t>
    </x:r>
  </x:si>
  <x:si>
    <x:t xml:space="preserve">Embalse Salve Faccha, calidad del agua (microalgas y cinaobacterias) e impacto del cambio climático</x:t>
  </x:si>
  <x:si>
    <x:t xml:space="preserve">Laboratorio y equipo humano especializado para la identificación taxonómica de algas y cianobacterias</x:t>
  </x:si>
  <x:si>
    <x:t xml:space="preserve">Luis Silva
UCE, 2019</x:t>
  </x:si>
  <x:si>
    <x:t xml:space="preserve">Caracterización isotópica de un evento de crecida sobre la microcuenca 1 del Río Jatunhuaycu”:</x:t>
  </x:si>
  <x:si>
    <x:t xml:space="preserve">UCE</x:t>
  </x:si>
  <x:si>
    <x:t xml:space="preserve">Ingeniería Civil</x:t>
  </x:si>
  <x:si>
    <x:t xml:space="preserve">Efrén Wilfrido Ortíz Moya</x:t>
  </x:si>
  <x:si>
    <x:t xml:space="preserve">Estimar la fracción de agua de evento y pre-evento de escorrentía en una crecida dentro de la microcuenca 1 del río Jatunhuaycu, mediante el uso de trazadores isotópicos, deuterio y oxígeno-18. </x:t>
  </x:si>
  <x:si>
    <x:t xml:space="preserve">Microcuenca 1 del río Jatunhuaycu</x:t>
  </x:si>
  <x:si>
    <x:t xml:space="preserve">Para el monitoreo en la microcuenca se dispuso de los puntos instalados por el proyecto ParamoSus, que consta de 8 calicatas subdivididas en la zona praderizada y zona con pajonal. Cada calicata tiene una profundidad de 1.3 m y en cada una se tiene: 3 disímetros de copa, 2 lisímetros de mecha y 2 colectores de agua lluvia en las calicatas ubicadas en la parte alta de cada zona. Se realiza un análisis de la concentración de los trazadores isotópicos en las muestras recolectadas de precipitación, escorrentía y agua en los suelos en el laboratorio.</x:t>
  </x:si>
  <x:si>
    <x:t xml:space="preserve">El tiempo de residencia en el sistema hidrológico del agua que circula sub-superficialmente es mucho mayor a la residencia del agua lluvia, es decir no se produce la mezcla. La cantidad de lluvia que cae sobre la microcuenca no es la fuente principal de aportación a la escorrentía. Los porcentajes de fracción de pre-evento varían de un 99% a 89" del caudal total durante el evento de crecida monitoreada. Por tanto, la microcuenca 1 presenta un sistema donde el agua de pre-evento es la fracción dominante con respecto al flujo total y el agua de evento no aporta directamente al lecho del flujo, más bien contribuye indirectamente a la crecida debido a la presión que ejerce el agua nueva sobre el agua de pre-evento.</x:t>
  </x:si>
  <x:si>
    <x:t xml:space="preserve">Continuar con el monitoreo isotópico en el Jatunhuaycu, hacer uso de protocolos de laboratorio durante las filtraciones de las muestras de agua para evitar alteraciones de las concentraciones isotópicas. Generar recolectores automáticos de agua lluvia para futuras investigaciones referentes al origen del agua.</x:t>
  </x:si>
  <x:si>
    <x:t xml:space="preserve">Caracterización isotópica</x:t>
  </x:si>
  <x:si>
    <x:t xml:space="preserve">Mosquera et al. 2013</x:t>
  </x:si>
  <x:si>
    <x:t xml:space="preserve">Experiencia en monitoreo y uso de isotopos estables por parte del tutor de la Universidad</x:t>
  </x:si>
  <x:si>
    <x:t xml:space="preserve">Maria Gracia Portilla
UIDE, 2019</x:t>
  </x:si>
  <x:si>
    <x:t xml:space="preserve">Analisis comparativo del estado ecologico de la vegetacion acuatica en dos humedales altoandinos del volcan Antisana</x:t>
  </x:si>
  <x:si>
    <x:t xml:space="preserve">UIDE</x:t>
  </x:si>
  <x:si>
    <x:t xml:space="preserve">Licenciatura en Biología Marina</x:t>
  </x:si>
  <x:si>
    <x:t xml:space="preserve">Héctor Terneus</x:t>
  </x:si>
  <x:si>
    <x:t xml:space="preserve">Analizar la composición de plantas acuáticas y algas filamentosas en dos humedales al pie del volcán Antisana (Pugllohuma y Patugllana) para conocer su estado y salud ecológica, factores fisicoquímicos del agua, nutrientes, hierro y sulfatos y determinar sus correlaciones.</x:t>
  </x:si>
  <x:si>
    <x:t xml:space="preserve">Dos humedales al pie del volcán Antisana (Pugllohuma y Patugllana) que se encuentran alterados</x:t>
  </x:si>
  <x:si>
    <x:t xml:space="preserve">En cada humedal se establecieron 19 puntos de muestreo. Se tomaron muestras de plantas acuáticas y algas filamentosas para su identificación taxonómica en laboratorio.  Se utilizó un espectrofotómetro para medir los parámetros fisicoquímicos (conductvidad, pH, oxígeno, temperatura, sólidos totales, nutrientes (nitritos, nitratos y fosfatos), hierro, sulfatos. Se evalúa el estado ecológico de los humedales a través de un análisis de correspondencia canónica. </x:t>
  </x:si>
  <x:si>
    <x:t xml:space="preserve">En las dos épocas de muestreo (lluviosa y seca) se identificaron 17 especies en los dos humedales estudiados, con una mayor abundancia en Patugllana (16 especies) y menor en Pugllohuma (10 especies). En época lluviosa se evidenció un mayor número de plantas acuáticas. La estacionalidad es un factor importante que modifica estos ecosistemas acuáticos. Cada humedal posee características que los diferencia uno de otro, tanto en su composición físico química como biótica. Es importante recalcar que el humedal Pugllohuma posee un grado alto de alteración, mayor al humedal Patugllana, lo cual se ve reflejado en su composición biótica. Los niveles de nutrientes se encuentran por debajo de los límites máximos permisibles en base al TULSMA, por lo tanto ,no es un ecosistema eutrofizado y se encuentra estable.</x:t>
  </x:si>
  <x:si>
    <x:t xml:space="preserve">Hacer un seguimiento de las especies de los humedales y en conjunto analizar nutrientes y factores fisicoquímicos. Analizar a detalle los suelos de estos humedales para conocer más a fondo su composición y diferencias.</x:t>
  </x:si>
  <x:si>
    <x:t xml:space="preserve">Flora: vegetación acuática, algas</x:t>
  </x:si>
  <x:si>
    <x:t xml:space="preserve">Utilización de laboratorios de la Universidad.</x:t>
  </x:si>
  <x:si>
    <x:t xml:space="preserve">Michelle Parra
UTI, 2020</x:t>
  </x:si>
  <x:si>
    <x:t xml:space="preserve">ANÁLISIS DE LA CALIDAD DE AGUA EN LAS ÁREAS DE CONSERVACIÓN HÍDRICA DEL FONAG PARA LA EVALUACIÓN DE LA EFICACIA DE LAS ESTRATEGIAS DE PROTECCIÓN Y CONSERVACIÓN HÍDRICA</x:t>
  </x:si>
  <x:si>
    <x:t xml:space="preserve">UNIVERSIDAD TECNOLÓGICA INDOAMÉRICA</x:t>
  </x:si>
  <x:si>
    <x:t xml:space="preserve">Maestria en Gestión Ambiental </x:t>
  </x:si>
  <x:si>
    <x:t xml:space="preserve">Ibon Tobes</x:t>
  </x:si>
  <x:si>
    <x:t xml:space="preserve">LA MICA - QUITO SUR, PITA, PAPALLACTA INTEGRADO</x:t>
  </x:si>
  <x:si>
    <x:t xml:space="preserve">Antisana, Alto Pita, Paluguillo</x:t>
  </x:si>
  <x:si>
    <x:t xml:space="preserve">Analizar la calidad del agua de las ACH Alto Pita, Antisana y Ponce Paluguillo para determinar la eficacia de las estrategias de protección hídrica implementadas por el FONAG.</x:t>
  </x:si>
  <x:si>
    <x:t xml:space="preserve">ACH Alto Pita (4 ríos), Antisana (2 ríos) y Ponce Paluguillo (2 ríos)</x:t>
  </x:si>
  <x:si>
    <x:t xml:space="preserve">En Alto Pita se realizó un análisis temporal (2014-2019) de la calidad de agua e integridad ecológica de cuatro ríos ubicados dentro del área de manejo. En Antisana se evaluaron dos ríos dentro del ACH y dos fuera del área del FONAG (sitios control). En Ponce Paluguillo se realizó un diagnóstico inicial de los parámetros evaluados en dos ríos dentro del ACH. En todos los sitios de estudio se analizaron parámetros fisicoquímicos, biológicos (macroinvertebrados) y ecológicos (hábitat fluvial y vegetación de ribera).</x:t>
  </x:si>
  <x:si>
    <x:t xml:space="preserve">Se evidencia una variabilidad importante en la calidad del agua en los sitios manejados, los cuales presentan mejores resultados que los sitios de control, y esto se debe a la reducción de la carga de ganado y la recuperación de la cobertura vegetal. Se observa un incremento de la calidad del hábitat fluvial y zona ribereña en los ríos ubicados dentro de las ACH. El índice de calidad de agua (ICA) es mayor en los ríos manejados por el FONAG. Los índices EPT, ABI y ASPT-E calculados reflejan mejor calidad de agua en los sitios de manejo que en los de control. El estudio muestra la eficacia de las estrategias de protección hídrica implementadas por el FONAG. </x:t>
  </x:si>
  <x:si>
    <x:t xml:space="preserve">Continuar con los programas de restauración y realizar monitoreos continuos para establecer tendencias temporales.</x:t>
  </x:si>
  <x:si>
    <x:t xml:space="preserve">Calidad del agua (parámetros fisicoquímicos, biológicos y ecológicos)</x:t>
  </x:si>
  <x:si>
    <x:t xml:space="preserve">Soria (2016)</x:t>
  </x:si>
  <x:si>
    <x:t xml:space="preserve">Laboratorio para identificacion de macroinvertebrados, experiencia de director de tesis</x:t>
  </x:si>
  <x:si>
    <x:t xml:space="preserve">Sandra Torres
EPN, 2018</x:t>
  </x:si>
  <x:si>
    <x:t xml:space="preserve">Evaluación del servicio ecosistémico correspondiente a la producción de agua en la Cuenca alta del río Guayllabamba utilizando el modelo computacional Invest</x:t>
  </x:si>
  <x:si>
    <x:t xml:space="preserve">Xavier Zapata</x:t>
  </x:si>
  <x:si>
    <x:t xml:space="preserve">INCLUYE TODOS LOS SISTEMAS</x:t>
  </x:si>
  <x:si>
    <x:t xml:space="preserve">Paluguillo, Chalpi, Alto Pita, Antisana, Rumipamba, Atacazo</x:t>
  </x:si>
  <x:si>
    <x:t xml:space="preserve">Evaluar el servicio ecosistémico de producción de agua en la cuenca alta del río Guayllabamba, utilizando el modelo InVEST (Valoración Integrada de Servicios Ecosistémicos y Compensaciones) para proporcionar sustento técnico a las entidades que se encargan de la gestión del recurso hídrico. Utilizar diferentes bases de datos: 1) evapotransipiración de referencia anual (ETo) de MODIS (Moderate-Resolution Imaging Spectroradiometer), 2) precipitación observada (133 pluviómetros con registros de 2001-2014), y 3) datos de precipitación satelital TMPA V7. Identificar áreas potenciales que se puedan comprar e implementar acciones de recuperación y conservación sostenible.</x:t>
  </x:si>
  <x:si>
    <x:r>
      <x:t xml:space="preserve">Cuenca alta del río Guayllabamba y unidades hidrológicas orientales y occidentales: Antisana, Chalpi, Cinto, Oyacachi, Papallacta, Quijos, Mindo, Saloya, Tamboyacu, Cinto, en las provincias de Pichincha y Napo con una superficie aproximada de 6846.62 km</x:t>
    </x:r>
    <x:r>
      <x:rPr>
        <x:sz val="11"/>
        <x:rFont val="Calibri"/>
        <x:family val="2"/>
        <x:scheme val="minor"/>
      </x:rPr>
      <x:t xml:space="preserve">2</x:t>
    </x:r>
    <x:r>
      <x:rPr>
        <x:sz val="11"/>
        <x:rFont val="Calibri"/>
        <x:family val="2"/>
        <x:scheme val="minor"/>
      </x:rPr>
      <x:t xml:space="preserve">.</x:t>
    </x:r>
  </x:si>
  <x:si>
    <x:r>
      <x:t xml:space="preserve">El modelo InVEST ejecuta un balance hídrico superficial espacialmente distribuido en una escala de 1 km</x:t>
    </x:r>
    <x:r>
      <x:rPr>
        <x:sz val="11"/>
        <x:rFont val="Calibri"/>
        <x:family val="2"/>
        <x:scheme val="minor"/>
      </x:rPr>
      <x:t xml:space="preserve">2</x:t>
    </x:r>
    <x:r>
      <x:rPr>
        <x:sz val="11"/>
        <x:rFont val="Calibri"/>
        <x:family val="2"/>
        <x:scheme val="minor"/>
      </x:rPr>
      <x:t xml:space="preserve"> a escala anual. Muestra la variación temporal y espacial de la producción de agua en el ámbito de estudio. Incluye 3 fases: 1) Análisis de requerimientos del modelo InVEST, 2) Recopilación de la información base: métodos de interpolación de datos de precipitación (IDW, Cokriging), bases de datos de precipitación (datos observados, datos satelitales), evapotranspiración, información hidrológica, 3) Modelación hidrológica y calibración: análisis de sensibilidad, criterios estadísticos de desempeño, validación. </x:t>
    </x:r>
  </x:si>
  <x:si>
    <x:t xml:space="preserve">El modelo InVEST genera resultados en cartografía digital de fácil interpretación. Al utilizar bases de datos globales se deben considerar los potenciales errores e incertidumbres introducidas (datos satelitales sobreestiman la precipitación). La subcuenca con mayor producción de agua es la de Chalpi, dentro de esta zona existe el Proyecto Chalpi- Papallacta, proyecto que garantizará el abastecimiento de agua para Quito hasta el 2040. Le siguen las subcuencas San Pedro, Saloya, Papallacta, Tamboyacu, Pita, Cinto, Mindo, Oyacachi, Quijos, Guayllabamba Alto, Guayllabamba Medio y Pisque. Por tanto, niveles de estrés hídrico alto para las subcuencas de Pisque y Guayllabamba Alto. Se presenta gran variabilidad espacial los resultados a nivel de subcuenca para la Producción de Agua (PA) en el área de influencia EPMAPS-FONAG con una variación de 260 a 830 mm/año por unidad de superficie en la cuenca. Se calculó el valor de producción hídrica en las áreas de conservación hídrica encontrándose que San Francisco de Cruz Loma, Oyacachi , Paluguillo son las que mayor producción de agua tienen. El modelo es simple en comparación con otros modelos como SWAT. No obstane, la principal limitación es la escala temporal de simulación (anual), no permite una caracterización del comportamiento estacional de la escorrentía.</x:t>
  </x:si>
  <x:si>
    <x:t xml:space="preserve">Incorporar el cambio climático en este análisis y complementar con más datos locales. Para utilizar InVEST se recomienda el uso de una cartografía con una escala más fina, discretizar con mayor detalle las coberturas de uso del suelo, conocer el volumen de agua irrigada para agregar a la producción de agua modelada. Importancia de desarrollar y mantener las herramientas propuestas para la valoración de los servicios que provee la naturaleza, capacitar al personal e involucrar líderes visionarios para difundir este tipo de análisis.</x:t>
  </x:si>
  <x:si>
    <x:t xml:space="preserve">Cantidad de agua (Producción)</x:t>
  </x:si>
  <x:si>
    <x:t xml:space="preserve">Zapata-Ríos (2017), Rosero (2018)</x:t>
  </x:si>
  <x:si>
    <x:t xml:space="preserve">Experiencia en manejo del modelos de Director y Codirector</x:t>
  </x:si>
  <x:si>
    <x:t xml:space="preserve">Viviana Bravo
EPN, 2020</x:t>
  </x:si>
  <x:si>
    <x:t xml:space="preserve">Evaluación de la herramienta de simulación del recurso hídrico Hydro-BID para la cuantificación de la disponibilidad de agua en la cuenca alta del río Guayllabamba y unidades hídricas aportantes de agua para el Distrito Metropolitano de Quito
</x:t>
  </x:si>
  <x:si>
    <x:t xml:space="preserve">Evaluar la herramienta de simulación del recurso hídrico Hydro-BID para la cuantificaciónde la disponibilidad de agua en la cuenca alta del río Guayllabamba y las unidades hídricas aportantes de agua al DMQ para proporcionar un instrumento de soporte a la toma de decisiones para las instituciones encargadas de la gestión y planificación de agua a nivel nacional. </x:t>
  </x:si>
  <x:si>
    <x:t xml:space="preserve">Abarca la delimitación geográfica de la cuenca del río Guayllabamba y las unidades hídricas aportantes al DMQ (Antisana, Chalpi, Cinto, Mindo, Oyacachi, Papallacta, Pita, Pisque, Quijos, Saloya, San Pedro y Tamboyacu). </x:t>
  </x:si>
  <x:si>
    <x:t xml:space="preserve">El Banco Inter-Americano de Desarrollo (BID) creó la herramienta de simulación denominada HydroBID con el objetivo de brindar soporte en el manejo y planificación del recurso hídrico en la región de Latinoamérica y el Caribe (LAC). Incluye tres fases: 1) Análisis de requerimientos de HydroBID, utiliza como información de entrada datos meteorológicos (precipitación y temperatura media diaria) ingresados por el usuario y datos de uso y cobertura de suelo de cada una de las cuencas que han sido delimitadas para la región de Latinoamérica y el Caribe. La metodología que usa HydroBID para la simulación hidrológica es la de Factor de Carga de Cauces Generalizados (GWLF); 2) Base de datos de hidrología analítica (incluye aproximadamente 300 mil subcuencas en formato shapefile); 3) Base de datos SQULITE (modelo gratuito que permite organizar y formular bases de datos); 4) Modelo hidrológico lluvia-escorrentía (simulación, calibración, validación), permite generar caudales diarios en cada una de las subucuencas. </x:t>
  </x:si>
  <x:si>
    <x:t xml:space="preserve">La herramienta HydroBID genera resultados aceptables en la simulación de flujos de salida de las cuencas de estudio, se ajusta adecuadamente a los caudales medios diarios, tiende a sobreestimar los picos altos y subestimar los caudales bajos. Esto último podría ser el resultado de los datos de precipitación utilizados que podrían no ser representitivos en la parte alta de la cuenca. La evaluación de la eficiencia de la calibración (0.83 y 0.89) con HydroBID muestra los mejores resultados con la estación H149 y H13, respectivamente. A nivel mensual los valores de Nash-Sutcliffe generan valores cercanos a 1, y a nivel diario descienden a 0.5. Las cuenca orientales Chalpi Grande y Papallacta proveen mayor cantidad de agua con más de 1000 mm/año, en contraste con las cuenca Guayllabamba Medio y Pisque con 227 mm/año.</x:t>
  </x:si>
  <x:si>
    <x:t xml:space="preserve">Actualizar y monitorear las estaciones meteorológicas para que se garantice un buen funcionamiento de las mismas, así como información continua y confiable. Simulación hidrológica a escala de subcuenca más pequeña. Evaluar el módulo de sedimentos y embalses de HydroBID en el ámbito de estudio.</x:t>
  </x:si>
  <x:si>
    <x:t xml:space="preserve">Moreda et al. 2017</x:t>
  </x:si>
  <x:si>
    <x:t xml:space="preserve">Gabriel Massaine (Tesis 1: Geordy Guerrero), IKIAM, 2022</x:t>
  </x:si>
  <x:si>
    <x:r>
      <x:t xml:space="preserve">Proyecto: Dinámicas de transporte de DOC en cuatro turberas altoandinas alteradas en las Áreas de Conservación Hídrica Antisana y Alto Pita
Tesis 1:
Efecto de la hidrología sobre el contenido de carbono orgánico disuelto (DOC) en cuatro turberas altoandinas con diferentes grados de intervención. </x:t>
    </x:r>
    <x:r>
      <x:rPr>
        <x:sz val="11"/>
        <x:rFont val="Calibri"/>
        <x:family val="2"/>
        <x:scheme val="minor"/>
      </x:rPr>
      <x:t xml:space="preserve">
</x:t>
    </x:r>
  </x:si>
  <x:si>
    <x:t xml:space="preserve">IKIAM</x:t>
  </x:si>
  <x:si>
    <x:t xml:space="preserve">Ingeniería en Hidrología</x:t>
  </x:si>
  <x:si>
    <x:t xml:space="preserve">Gabriel Massaine</x:t>
  </x:si>
  <x:si>
    <x:t xml:space="preserve">LA MICA QUITO SUR, PITA</x:t>
  </x:si>
  <x:si>
    <x:t xml:space="preserve">Antisana y Alto Pita</x:t>
  </x:si>
  <x:si>
    <x:t xml:space="preserve">Investigar los factores hidrometeorológicos y topográficos que regulan la producción de concentración de contenido de carbono orgánico disuelto (DOC) en cuatro turberas tropicales alto andinas, con diferentes grados de intervención antrópica.</x:t>
  </x:si>
  <x:si>
    <x:t xml:space="preserve">Cuatro turberas tropicales andinas ubicadas en los páramos de Ecuador, turberas de  Pugllohuma (14.2 ha) y Jatunhuayco (45 ha) en el ACH Antisana, turberas de Tungurahua (26 ha) y Chamilco (7 km2) en el ACH Alto Pita.</x:t>
  </x:si>
  <x:si>
    <x:t xml:space="preserve">La metodología incluye los siguientes pasos: 1) Sitios de muestreo: cuencas de Pugllohuma (14 puntos), Jatunhuayco ( 22 puntos), Tungurahua (10 puntos) y Chamilco ( 13); 2) Muestreo de campo: parámetros físico-químicos (temperatura, conductividad, sólidos totales disueltos, pH, turbidez, color), para el análisis de DOC se recoletaron 60 ml de agua en botellas de polietileno de alta densidad, se sellan y tranportan en una cadena fría. Se miden las concentraciones de DOC en el laboratorio utilizando un analizador de carbono orgánico total. El número de muestras en cada turbera varia según el tamaño de cada zona;  3) Determinación de parámetros topográficos (área, pendiente promedio, altitud y distancia desde el primer punto) y generación de modelos HAND (modelo topográfico) y TWI (detecta posibles sitios anegados). Al igual que con el modelo HAND, el valor TWI se promedió para toda la microcuenca; valores más altos del índice indican la presencia de agua o mayor humedad en la cuenca;  4) Datos hidrológicos; 5) Análisis de los datos: se identifican correlaciones entre los parámetros físico-químicos medidos en cada turbera y se visualiza la variabilidad temporal y espacial de la dinámica de concentración de DOC para las cuatro turberas y su relación con la precipitación. Se contruyen modelos de regresión lineal para evaluar la relación entre parámetros físico-químicos y DOC.</x:t>
  </x:si>
  <x:si>
    <x:t xml:space="preserve">Los resultados obtenidos sugieren que a pesar de la proximidad geográfica de las turberas, existen varios factores que pueden afectar las concentraciones de DOC. Las turberas que pertenecen a la ACH Antisana muestran correlaciones muy fuertes con el color (podría facilitar el monitoreo de DOC en los ecosistemas y reducir costos), pero sólo en la turbera de Jatunhuaycu la precipitación parece ser responsable de regular la concentración de DOC. Este comportamiento no se observa en Pugllohuma debido a que el drenaje artificial resultante de actividades antropogénicas es responsable de las concentraciones de DOC. Las turberas de la ACH Alto Pita, Tungurahua y Chamilco, muestran fuertes correlaciones con los parámetros de temperatura y TDS, respectivamente. En Tungurahua se observa que la precipitación gobierna las concentraciones de DOC, mientras que en Chamilco la precipitación previa al muestreo es responsable de regular las concentraciones de DOC, posiblemente debido a características litológicas y geomorfológicas. </x:t>
  </x:si>
  <x:si>
    <x:t xml:space="preserve">Se necesita investigación con mayor tiempo de muestreo para saber si estos factores son responsables de regular las concentraciones de DOC. durante un período hidrológico más largo y si se ven afectados por el cambio climático.</x:t>
  </x:si>
  <x:si>
    <x:t xml:space="preserve">Calidad del agua: contenido de carbono</x:t>
  </x:si>
  <x:si>
    <x:t xml:space="preserve">Gabriel Massaine (Tesis 2: Vinicio Oñate), IKIAM, 2021</x:t>
  </x:si>
  <x:si>
    <x:t xml:space="preserve">Proyecto: Dinámicas de transporte de DOC en cuatro turberas altoandinas alteradas en las Áreas de Conservación Hídrica Antisana y Alto Pita
Tesis 2:
“Dinámica temporal y estacional de la concentración de carbono orgánico disuelto COD en cuatro turberas del páramo andino en Ecuador en Áreas de Conservación Hídrica: Análisis de calidad y toxicológicos y modelos geoquímicos en agua”  (Solo informe)</x:t>
  </x:si>
  <x:si>
    <x:t xml:space="preserve">Determinar la variación espacial y estacional de DOC en cuatro turberas andinas de las áreas de conservación Pita y  Antisana a través de un análisis ecohidrológico para establecer programas de restauración.  Describir la variación espacio-temporal de DOC, evaluar su concentración e identificar las fuentes de materia orgánica disuelta (DOM) de cada humedal. Desarrollar modelos de muestras de agua, ensayos toxicológicos y análisis de calidad en los humedales.</x:t>
  </x:si>
  <x:si>
    <x:t xml:space="preserve">Humedal de Pugllohuma (15 ha) y Jatunhuayco en ACH Antisana, y Tunghurahua y Chamilco en ACH Alto Pita</x:t>
  </x:si>
  <x:si>
    <x:t xml:space="preserve">El proceso metodológico incluye los siguientes pasos: 1) Selección de puntos de muestreo (diseño de muestreo experimental que considera las desembocaduras de flujos en el cauce principal); 2) Recolección de muestras de agua para el análisis, 50 muestras divididas entre las cuatro turberas en un periodo de 10 meses, se determinan en el Laboratorio de Ikiam los valores de isótopos, DOC, iones y ensayos toxicológicos; 3) Análisis en LNRA, parámetros físico-químicos se realizan en LNRA (pH, turbiedad, Oxígeno Disuelto, temperatura, conductividad), análisis de aniones y cationes mediante cromatografía iónica, análisis de DOC con técnica analítica de combustión y detección por infrarrojo no dispersivo, isótopos con un espectómetro; 4) Modelos de mezcla geoquímica con el programa PHREEQC para modelado geoquímico de USGS; 5) Análisis espacio-temporal, grado de intervención en la vegetación y uso del suelo con imágenes LANDSAT y cálculo del NDVI, generación de mapas para su uso en modelos de distribución de especies para determinar la contribución de las especies a los humedales.</x:t>
  </x:si>
  <x:si>
    <x:t xml:space="preserve">El DOC presenta variabilidad temporal en Pugllohuma, Tungurahua y Chamilco, siendo el valor más elevado en Pugllohuma. Con respecto a la variabilidad espcacial del DOC, esta es similar en Pugllohuma y Tungurahua, con concentraciones más elevadas en las cabeceras de Pugllohuma. En Tungurahua las concentraciones de DOC son elevadas en los puntos de muestreo intermedios o en las salidas de la cuenca. De los parámetros físico-químicos, el pH es el único que presentó un patrón espacial de incremento desde la cabecera hacia la salida de cada humedal, especialmente en Chamilco y Tungurahua. </x:t>
  </x:si>
  <x:si>
    <x:t xml:space="preserve">Jorge Celi. Tesis 1:  Mariuxi Ramos, IKIAM, 2022</x:t>
  </x:si>
  <x:si>
    <x:t xml:space="preserve">“Caracterización limnológica de las lagunas de Papallacta-Oyacachi, incluida la determinación de los niveles de estratificación del embalse Salve Faccha y sus implicaciones en los procesos ecológicos y biogeoquímicos. Tesis 1: "Contaminación por microplásticos en lagos tropicales altoandinos: prspectivas sobre su origen y distribución en zonas remotas"</x:t>
  </x:si>
  <x:si>
    <x:t xml:space="preserve">Jorge Celi</x:t>
  </x:si>
  <x:si>
    <x:t xml:space="preserve">Reserva Cayambe-Coca</x:t>
  </x:si>
  <x:si>
    <x:t xml:space="preserve">Conocer la presencia de microplásticos (MP) en aguas superficiales y sedimentos de cinclo lagos en la Reserva Ecológica Cayambe-Coca. Asociar el número de MP con la superficie de la microcuenca de cada lago. Discutir el origen y los patrones de distribución de MP en los lagos en relación con los datos del viento y las actividades humanas.</x:t>
  </x:si>
  <x:si>
    <x:t xml:space="preserve">Laguna Ciega, laguna de los Patos, laguna William, laguna Peine y laguna sin nombre. </x:t>
  </x:si>
  <x:si>
    <x:t xml:space="preserve">La recolección de las muestras se realizó en una balsa sin motor con una red de fitoplancton arrastrada a una velocidad de 2 m/s durante 2 minutos sobre la superficie de los lagos. Las muestras se toman en el centro y orilla de cada lago. Se recogio 50 ml de agua en botellas de vidrio, en las orillas se recolectaron 2 kg de sedimento con una pala (una muestra por lago).  En total se recogieron 5 muestras de sedimento y 9 de agua. El análisis de las muestras sigue los siguientes pasos: 1) extracción de microplástico, 2) análisis del microplástico, 3) control de contaminación, y 4) análisis estadístico de los resultados.</x:t>
  </x:si>
  <x:si>
    <x:t xml:space="preserve">Los resultados de los sedimentos mostraron mayor abundancia de MP en los lagos profundos que en los poco profundos. Las muestras de agua mostraron mayor abundancia de MP en lagos poco profundos que en los profundos. Mayor abundancia de microplásticos en los sedimentos que en el agua. El celofán, polietileno, polipropileno son los polímeros dominantes en el agua y sedimentos. La abundancia de MP en sedimentos y en agua no está correlacionada con la microcuenca superficial de cada lago. Las princiaples fuentes de contaminación por microplásticos son probablemente la atmósfera, la pesca, los campamentos y senderismo.</x:t>
  </x:si>
  <x:si>
    <x:t xml:space="preserve">Se requiere mayor investigación para monitorear el origen y transporte de los MP, así como para comprender la distribución espacial y los efectos ecológicos de los MP en los sistemas de agua dulce.</x:t>
  </x:si>
  <x:si>
    <x:t xml:space="preserve">Calidad del agua: contaminación por microplásticos</x:t>
  </x:si>
  <x:si>
    <x:t xml:space="preserve">Cabrera et al. 2022</x:t>
  </x:si>
  <x:si>
    <x:t xml:space="preserve">Realmente la inversión es mínima por tesis, esto básicamente fue un apoyo dado para otorgar permisos </x:t>
  </x:si>
  <x:si>
    <x:t xml:space="preserve">Jorge Celi. Tesis 2:  Andrea Llumiquinga, IKIAM, 2022</x:t>
  </x:si>
  <x:si>
    <x:t xml:space="preserve">“Caracterización limnológica de las lagunas de Papallacta-Oyacachi, incluida la determinación de los niveles de estratificación del embalse Salve Faccha y sus implicaciones en los procesos ecológicos y biogeoquímicos. Tesis 2: "Análisis de la concentración y distribución de parámetros físico químicos del embalse Salve Faccha"</x:t>
  </x:si>
  <x:si>
    <x:t xml:space="preserve">El estudio tiene como objetivo identificar si existe estratificación en el embalse Salve Faccha, mediante el análisis de la distribución temporal de parámetros físico-químicos y biológicos para predecir posibles efectos en la calidad del agua.</x:t>
  </x:si>
  <x:si>
    <x:t xml:space="preserve">El procedimiento metodológico incluye los siguientes pasos: 1) Análisis meteorológico (temperatura, precipitación, velocidad y dirección del viento, 2) análisis de los parámetros físico-químicos de los datos históricos mensuales (2020-2021) y de la hidroboya multiparamétrica (2019-2020 a 3 profundidades 0.5, 5 y 10 m) para seleccionar el periodo de estudio de cada parámetro (temperatura, OD, turbiedad, pH, clorofila-a, potencial de oxidación y reducción). Se determinan estaciones en base a climogramas de Walter-Lieth. Se utiliza el paquete LakeAnalyzer de R para analizar los diferentes parámetros utilizando mapas de calor para graficar los datos de alta frecuencia y buscar termoclinas según la densidad del agua y con los datos del muestreo mensuales se grafican isolíneas verticales.</x:t>
  </x:si>
  <x:si>
    <x:t xml:space="preserve">El embalse Salve Faccha presenta leves estratificaciones términcas estacionales (a 2.75m y 7.50 m de profundidad) y químicas (entre 5 y 10 m de profundidad) en la estación seca, influenciada por el viento. En la estación relativamente seca el oxígeno disuelto (OD) tiene una mayor variación en la columna de agua, sin alcanzar la anoxia. El viento influye en la leve estratificación termoquímica horaria. La clorofila-a, potencial de oxidación y reducción y pH muestran cambios significativos y correlaciones con la temperatura y el OD. No existe una estratificación marcada en el embalse, excepto en la estación relativamente seca en la cual existen leves variaciones que podrían sugerir una tendencia a la estratificación en el futuro.</x:t>
  </x:si>
  <x:si>
    <x:t xml:space="preserve">Calidad del agua</x:t>
  </x:si>
  <x:si>
    <x:t xml:space="preserve">Jorge Celi. Tesis 3  David Guaña, IKIAM, 2022</x:t>
  </x:si>
  <x:si>
    <x:t xml:space="preserve">“Caracterización limnológica de las lagunas de Papallacta-Oyacachi, incluida la determinación de los niveles de estratificación del embalse Salve Faccha y sus implicaciones en los procesos ecológicos y biogeoquímicos. Tesis 3: "Efecto de la morfología de las cuencas sobre la dinámica espacio temporal de humedales altoandinos"</x:t>
  </x:si>
  <x:si>
    <x:t xml:space="preserve">SISTEMA PAPALLACTA INTEGRADO </x:t>
  </x:si>
  <x:si>
    <x:t xml:space="preserve">Evaluar la variación espacio-temporal de la superficie de los humedales y su relación con la morfología de su cuenca.</x:t>
  </x:si>
  <x:si>
    <x:t xml:space="preserve">Sistema de humedales Ñucanchi-Turupamba (ÑT). Cuencas Oyacachi, Chalpi Grande y Papallacta</x:t>
  </x:si>
  <x:si>
    <x:t xml:space="preserve">Se utilizan imágenes Sentinel-1 SAR en Google Earth Engine para extraer el área inundada aplicando el método Otsu y determinar series temporales, frecuencia de inundación de agua (WIF) y clasificación de los ecosistemas lénticos. Los resultados se comparan con variables morfológicas (altura sobre el drenaje más cercano (HAND), índice de humedad topográfica (TWI), pendiente media, área, perímetro, relación de circularidad (CR), altitud y acumulación de flujo), y mediante un análisis de componentes principales se determinan grupos de cuencas. </x:t>
  </x:si>
  <x:si>
    <x:t xml:space="preserve">La dinámica de los humedales en el ecosistema de páramo experimenta variaciones espacio-temporales significativas relacionadas con la morfología de su cuenca. Las precipitaciones y las zonas de humedales tienen un comportamiento de régimen similar, con un pico notable de inundaciones y precipitaciones en mayo. Se observa diferencias en el comportamiento inundable espacio-temporal en el ÑT y cuencas aledañas. La extensión de los humedales varía del 0,6 al 42,6% del área total de la cuenca y tiene un hidroperíodo medio de WIF que oscila entre el 30,49% y el 88,32% del tiempo inundado. La media del WIF y el porcentaje de cobertura de la cuenca por cada tipo de ecosistema se correlacionan positivamente con el índice TWI, la altura y una fuerte correlación negativa con la desviación estándar del WIF, la altura sobre el vecino más cercano (HAND), la pendiente y la acumulación de flujo. En base a parámetros hidrogeomorfológicos se encontraron tres conglomerados: 1) caracterizado por humedales más grandes, homogéneos y más tiempo inundados, 2) humedales más pequeños, heterogéneos y estacionales y 3) las cuencas más grandes en medio de estas variables limnológicas. </x:t>
  </x:si>
  <x:si>
    <x:t xml:space="preserve">Se sugiere más estudios para determinar la importancia del comportamiento de las inundaciones de los humedales sobre la hidrología y la ecología y cómo podría evaluarse para preservar estos ecosistemas.</x:t>
  </x:si>
  <x:si>
    <x:t xml:space="preserve">Dinámica espacio-temporal de los humedales y su relación con la morfología</x:t>
  </x:si>
  <x:si>
    <x:t xml:space="preserve">Jorge Celi. Tesis 4  Dayana Martínez, IKIAM, 2022</x:t>
  </x:si>
  <x:si>
    <x:t xml:space="preserve">“Caracterización limnológica de las lagunas de Papallacta-Oyacachi, incluida la determinación de los niveles de estratificación del embalse Salve Faccha y sus implicaciones en los procesos ecológicos y biogeoquímicos. Tesis 4: "Influencia de factores físico-químicos sobre la comunidad de microalgas en lagos altoandinos"</x:t>
  </x:si>
  <x:si>
    <x:t xml:space="preserve">Determinar la influencia de factores físico-químicos sobre la comunidad de microalgas en los lagos altoandinos como aporte a mejorar el conocimiento sobre la ecología de estos ecosistemas acuáticos en las áreas protegidas del Ecuador.</x:t>
  </x:si>
  <x:si>
    <x:t xml:space="preserve">Sistema Lacustre Papallacta Oyacachi: embalses Salve Faccha, Sucus, Mogotes, Loreto y los lagos Patos, y David</x:t>
  </x:si>
  <x:si>
    <x:t xml:space="preserve">El procedimiento metodológico incluye los siguientes pasos: 1) Recolección y análisis de muestras (fitoplancton y perifiton) en octubre 2020 (seca) y enero 2021 (lluviosa), 2) Tratamiento preliminar en laboratorio, 3) Identificación taxonómica, 4) Parámetros físico-químicos (muestras de agua se toman en cada punto de muestreo), 5) Análisis estadístico (análisis de correspondencia canónica (relación entre parámetros físico-químicos y distribución de microalgas) y análisis de similitud (índice de Jaccard) en la composición entre las comunidades de microalgas presentes en el ámbito de estudio.</x:t>
  </x:si>
  <x:si>
    <x:t xml:space="preserve">Un total de 106 especies de microalgas (en su mayoría diatomeas) fueron registradas en los lagos y embalses altoandinos pertenecientes al área de estudio. Del total 100 fueron registrados en los embalses Salve Faccha, Sucus, Mogotes y Loreto y 63 en los lagos Patos y David. Se encontraron más especies en los embalses. Las especies Navicula radiosa, Staurastrum chaetoceras y Tabellaria flocculosa se encontraron en casi todos los sitios de estudio en las 2 fechas de muestreo. Además se registró la presencia de cianobacterias. El índice de Jaccard mostró que tienen una baja similitud en cuanto a la composición de especies de microalgas entre lagos y embalses.Nutrientes como nitritos, nitratos, sulfatos y fosfatos no mostraron mayor relación con la presencia de microalgas. La conductividad y la transparencia son más influyentes en la presencia de especies de microalgas.</x:t>
  </x:si>
  <x:si>
    <x:t xml:space="preserve">Dado que los lagos del estudio forman parte de un sistema de lagos altoandinos con características similares a otros sistemas en los Andes ecuatorianos, los resultados de la presente investigación podrían compararse con lagos con las mismas características.</x:t>
  </x:si>
  <x:si>
    <x:t xml:space="preserve">Comunidad de microalgas</x:t>
  </x:si>
  <x:si>
    <x:t xml:space="preserve">Elizabeth Velarde UTN, 2021</x:t>
  </x:si>
  <x:si>
    <x:t xml:space="preserve">Caracterización Limnología de la Laguna de Papallacta: Informes de "Mapa Batimétrico y Parámetros morfométricos de la Laguna de Papallacta" y "Protocolo de análisis de Fitocplancton y Zooplancton en la Laguna Papallacta"</x:t>
  </x:si>
  <x:si>
    <x:t xml:space="preserve">UTN</x:t>
  </x:si>
  <x:si>
    <x:t xml:space="preserve">Papallacta</x:t>
  </x:si>
  <x:si>
    <x:t xml:space="preserve">Elaborar el mapa batimétrico de la laguna de Papallacta. Realizar la caracterización morfométrica y presentar un modelo de perfil topográfico de la cubeta lacustre de la laguna Papallacta. Determinar el estado trófico en relación con el comportamiento de los parámetros físicos, químicos y biológicos para el diseño de estrategias de control y manejo del productor primario. </x:t>
  </x:si>
  <x:si>
    <x:t xml:space="preserve">Embalse Papallacta</x:t>
  </x:si>
  <x:si>
    <x:t xml:space="preserve">El procedimiento metodológico incluye los siguientes pasos: 1) Elaboración del mapa batimétrico de la laguna Papallacta, para la fase de campo se utilizó un GPS Garmin 526S conectado a una ecosonda, a una computadora de campo y una batería de vehículo, a través de un bote se realiza el recorrido batimétrico, para la fase de oficiona se utiliza el software DrDepth, ArcGis 10.4 y la herramienta Project y Create Tin se interpolan los puntos para obtener un archivo MDT del mapa batimétrico por rangos de produndiad (cada 3 m). 2) Caracterización morfométrica de la laguna (perímetro, profundidad máxima y promedio, longitud máxima, ancho promedio). 3) Elaboración de un modelo del perfil topográfico de la cubeta lacustre de la laguna Papallacta, utilizando la herramienta ArcScene de ArcGIS. Para el análisis de Fitocplancton y Zooplancton se tomaron muestras en el punto más profundo del lago a distintas profundidades para evaluar la composición de la comunidad algal y consumidores primarios en toda la columna de agua.</x:t>
  </x:si>
  <x:si>
    <x:t xml:space="preserve">El lago posee una superficie de 400625.77 m2, un volumen de 5191801.42 m3, una profundidad máxima de 31.87 m y una profundiad promedio de 11.48 m, una forma oval oblonga un poco alargada, con esto se determinó que la laguna es poco profunda. Las cotas entre 0 - 3 m ocupa la mayor superficie y la zona con mayor presencia de sedimentos está al noreste de la laguna. El mapa batimétrico permite visualizar la distribución espacial del agua en la laguna. Presenta una caída rápida en las orillas, se observa una variación significativa en el volumen y nivel de agua entre época seca y lluviosa. El estudio se realizó en época seca y se evidenció la disminución del nivel de agua, el nivel freático varió alrededor de 1.5 m. Los resultados de fitoplancton en la laguna de Papallacta  destacan una identificación de las algas a nivel genérico, para cada profunidad 300 individuos fueron contabilizados (cocconeis, cymbella, gomphonema, monoraphidium, navicula, peridinium, pinnularia, planktosphaeria, pseudanabaena, rhoicosphenia, scenedesmus y synedra), en el caso del zooplancton en la laguna de Papallacta muestran los grupos cladóceros, copépodos y rotíferos.</x:t>
  </x:si>
  <x:si>
    <x:t xml:space="preserve">Para conocer la ubicación y extensión exacta de las dunas de sedimentos se debe realizar una batimetría específica en las zonas identificadas con los cortes longitudinales y transversales realizados. Hacer otro levantamiento batimétrico en época lluvisa.</x:t>
  </x:si>
  <x:si>
    <x:t xml:space="preserve">Batimetría y algas</x:t>
  </x:si>
  <x:si>
    <x:t xml:space="preserve">Se cubrió compra de insumos y pago de laboratorio para analisis de nutrientes e identificación molecular. La Universidad puso la experiencia en el área de limnología</x:t>
  </x:si>
  <x:si>
    <x:t xml:space="preserve">Magaly Estefanía García y Karla Tatiana Reinoso (Ucuenca), 2022</x:t>
  </x:si>
  <x:si>
    <x:t xml:space="preserve">Desarrollo del enfoque de múltiples-hipótesis para la conceptualización de procesos hidrológicos en una cuenca de Páramo Andino del norte del Ecuador usando modelos de lluvia-escorrentía</x:t>
  </x:si>
  <x:si>
    <x:t xml:space="preserve">Ucuenca</x:t>
  </x:si>
  <x:si>
    <x:t xml:space="preserve">Patricio Crespo</x:t>
  </x:si>
  <x:si>
    <x:t xml:space="preserve">Desarrollar el enfoque de múltiples hipótesis (MHMT)para elegir el modelo lluvia-escorrentía que representa adecuadamentre los procesos hidrológicos en la UH Jatunhuayco. Proponer diferentes modelos de lluvia-escorrentía, identificar aquellas funciones de transferencia que ayuden a calibrar y validar los modelos e identificar las mejores hipótesis conceptuales.</x:t>
  </x:si>
  <x:si>
    <x:t xml:space="preserve">Dos microcuencas cercanas (M2 de 2.51 km2  y M3 de 2.34 km2) de la Unidad Hidrográfica Jatunhuayco</x:t>
  </x:si>
  <x:si>
    <x:t xml:space="preserve">El método MHMTse basa en el desarrollo de algunas hipótesis antes del análisis, las cuales pueden explicar el fenómeno observado. El procedimiento metodológico consisten en los siguientes pasos: 1) Control de calidad de los datos, 2) Cálculo del coeficiente de escorrentía, 3) Cálculo de la evapotranspiración, 4) Estructuras conceptuales (Dos reservorios en paralelo 2RP, Tres reservorios en paralelo 3RP, Dos reservorios en paralelo con pérdida por infiltración profunda 2RPP y Tres reservorios en paralelo con pérdida 3RPP), 5) Parámetros de calibración de los modelos, 6) Ecuaciones de balance hídrico, 7)Funciones de transferencia (potenciales, lineales, de percolación), 8) Calibración, 9) Criterios de selección de los modelos (de información de Akaike AIC, de información Bayesiano BIC)</x:t>
  </x:si>
  <x:si>
    <x:t xml:space="preserve">A pesar de que las dos microcuencas en estudio se encuentran cercanas y presentan áreas similares, su comportamiento hidrológico es diferente, alta variabilidad que podría atribuirse a la geología. Se aplicaron dos funciones de transferencia: la  potencial en los horizontes superficiales del suelo y las lineales para representar tanto a los horizontes profundos como a la recarga que se da desde un horizonte superior a un inferior. Esto permitió que se puedan simular los flujos pico, base, así como las demás fluctuaciones del caudal. La hipótesis 3RPP es la más aceptada para M2 y la 3RP para la M3. En la M2 se consideró un flujo de agua saliente que no se pierde por evaporación, por lo que probablemente se infiltra, en la M3 se debe considerar una percolación hacia un horizonte profundo (roca fracturada), podría presentar una respuesta lenta que contribuye al caudal, a los flujos base.</x:t>
  </x:si>
  <x:si>
    <x:t xml:space="preserve">Llevar un adecuado mantenimiento y preprocesamiento de datos. Generar o disponer de mapas de uso y cobertura de suelo. Levantar información en campo para reducir la incertidumbre de los modelos, por ejemplo, cuantificar la evapotranspiración real, cambios de almacenamiento mediante monitoreo de humedad del suelo en gradientes, contar con trazadores biogeoquímicos, etc.</x:t>
  </x:si>
  <x:si>
    <x:t xml:space="preserve">Experiencia del director de Tesis en el modelación hidrológica</x:t>
  </x:si>
  <x:si>
    <x:t xml:space="preserve">Christian Naranjo y Andrea Calle (Ucuenca), 2022</x:t>
  </x:si>
  <x:si>
    <x:t xml:space="preserve">Identificación de los controladores hidrometeorológicos en la concentración del carbono orgánico disuelto (COD) en humedales de Páramo del Antisana y el Alto Pita</x:t>
  </x:si>
  <x:si>
    <x:t xml:space="preserve">Identificar qué factores hidrometeorológicos y de qué manera controlan las concentraciones de Carbono Orgánico Disuelro COD en los humedales del páramo Andino del Norte del Ecuador. Caracterizar los humedales de acuerdo a sus características intrínsecas.</x:t>
  </x:si>
  <x:si>
    <x:t xml:space="preserve">Humedales de Jatunhuayco y Pugllohuma en ACH Antisana, y humedal de Tungurahua en ACH Alto Pita</x:t>
  </x:si>
  <x:si>
    <x:t xml:space="preserve">El proceso metodológico consiste en los siguientes pasos: 1) Análisis de datos, periodo de estudio 1 año (hidrometeorológicos y COD, muestras tomadas cada 2 semanas de COD=23 muestras, registros horarios y 5 min para las variables hidrometeorológicas, registros quincenales para la concentración de COD). 2) Análisis de la información: características intrínsecas de los humedales en estudio (Jatunhuayco analizado con metodología Punto intercepto, Pugllohoma con 5 cuadrantes de 1x1m2 en cada transecto y Tungurahua con 3 cuadrantes de 1x1 m2), análisis de los principales factores controladores de COD; 3) Análisis sobre de qué manera los factores encontrados como principales controlan las concentraciones de COD en los humedales de páramo.</x:t>
  </x:si>
  <x:si>
    <x:t xml:space="preserve">El humedal Jatunhuayco presenta la mayor concentración de COD, seguido del humedal Pugllohuma y humedal Tungurahua. En Pugllohuma, el caudal, precipitación y humedad relativa actúan como controladores de COD. En Jatunhuayco, el caudal y radiación solar (solo a 12 horas) actúan como los únicos controladores de COD. En Tungurahua, el caudal y la precipitación actúan como controladores de COD y la mejores correlaciones negativas fueron para radiación solar y velocidad del viento. Por tanto, la precipitación y el caudal presentan las mejores correlaciones positivas (excepto precipitación en Jatunhuayco).</x:t>
  </x:si>
  <x:si>
    <x:t xml:space="preserve">Ampliar el periodo de estudio, debido a que las condiciones climáticas son variables entre un año y otro. Incluir otros factores como humedad del suelo, temperatura del suelo, evapotranspiración, nivel freático, etc. Incluir un monitoreo de eventos para entender mejor la dinámica de carbono intra eventos. Proponer un modelo que simule el carbono en el río y que tome en cuenta las variables más importantes para el control de carbono en estos humedales. </x:t>
  </x:si>
  <x:si>
    <x:t xml:space="preserve">Contenido de carbono en humedales de páramo</x:t>
  </x:si>
  <x:si>
    <x:t xml:space="preserve">Parra, 2020; Pesántez et al. 2018; Ribadeneira, 2020; Campoverde Guerra, 2020</x:t>
  </x:si>
  <x:si>
    <x:t xml:space="preserve">Experiencia del director de Tesis en dinámicas de carbono en el páramo</x:t>
  </x:si>
  <x:si>
    <x:t xml:space="preserve">Bryan Vasquez</x:t>
  </x:si>
  <x:si>
    <x:t xml:space="preserve">Impacto de la herbivoría en los diferentes hábitats del ACHA.</x:t>
  </x:si>
  <x:si>
    <x:t xml:space="preserve">Luis Huaraca</x:t>
  </x:si>
  <x:si>
    <x:t xml:space="preserve">Mapeo Dinámico de Humedales en áreas de Interés Hidrico del FONAG</x:t>
  </x:si>
  <x:si>
    <x:t xml:space="preserve">MAESTRÍA EN CIENCIAS DE LA INGENIERÍA PARA LA GESTIÓN DE LOS RECURSOS HÍDRICOS ​</x:t>
  </x:si>
  <x:si>
    <x:t xml:space="preserve">Ejecutar un Mapeo de los Humedales de alta montaña (Bofedales), en un área de interés hídrico del FONAG 2022, a través de información Sentinel 1 y Sentinel 2 (HUM RADAR) y mediciones de SSM (HUM_SSM) para establecer la variabilidad intra e inter anual del área de los humedales, considerando las tres fuentes de información. ​</x:t>
  </x:si>
  <x:si>
    <x:t xml:space="preserve">Gicela Arias</x:t>
  </x:si>
  <x:si>
    <x:t xml:space="preserve">En curso</x:t>
  </x:si>
  <x:si>
    <x:t xml:space="preserve">Degradación de la cobertura vegetal nativa de los páramos del Área de protección Ponce Paluguillo y su área de influencia durante el periodo 2015-2025</x:t>
  </x:si>
  <x:si>
    <x:t xml:space="preserve">UASB - Sede Bolivia</x:t>
  </x:si>
  <x:si>
    <x:t xml:space="preserve">MAESTRÍA EN TELEDETECCIÓN Y SISTEMAS DE INFORMACIÓN GEOGRÁFICA PARA EL DESARROLLO SOSTENIBLE</x:t>
  </x:si>
  <x:si>
    <x:t xml:space="preserve">FONAG-AB-001-2024</x:t>
  </x:si>
  <x:si>
    <x:t xml:space="preserve">Raúl Galeas</x:t>
  </x:si>
  <x:si>
    <x:t xml:space="preserve">María Sol Vallejo</x:t>
  </x:si>
  <x:si>
    <x:t xml:space="preserve">Ponce Paluguillo</x:t>
  </x:si>
  <x:si>
    <x:t xml:space="preserve">Analizar la degradación de la cobertura vegetal nativa en los páramos del Área de Protección Hídrica Ponce Paluguillo y su zona de influencia durante el período 2015-2025, determinando las causas que han generado estos procesos de transformación.</x:t>
  </x:si>
  <x:si>
    <x:t xml:space="preserve">La investigación analizará los cambios en la cobertura vegetal nativa de páramo en el APH Ponce Paluguillo y su zona de influencia entre 2015 y 2025, usando teledetección. Permitirá identificar patrones de degradación por actividades humanas, calcular la tasa de pérdida de vegetación natural y caracterizar los tipos de cambio observados. Además, generará una línea base del estado de conservación, útil para priorizar acciones de manejo y orientar la zonificación de áreas degradadas, con el objetivo de revertir el deterioro y fortalecer la conservación en el área protegida.</x:t>
  </x:si>
  <x:si>
    <x:t xml:space="preserve">Miguel Gonzalez </x:t>
  </x:si>
  <x:si>
    <x:t xml:space="preserve">Propuesta de Rediseño Red Integrada de Monitoreo FONAG-EPMAPS con Inteligencia Artificial y Geoestadística</x:t>
  </x:si>
  <x:si>
    <x:t xml:space="preserve">Tesistas quebradas Rumipamba, modelo de rutura de presa rumiloma y generación de hidrogramas unitarios en quebradas</x:t>
  </x:si>
  <x:si>
    <x:t xml:space="preserve">UTE</x:t>
  </x:si>
  <x:si>
    <x:t xml:space="preserve">Jhonny Flores
Cristina Alarcón</x:t>
  </x:si>
  <x:si>
    <x:t xml:space="preserve">Evaluación espacial de solidos y color en el río Antisana y Jatunhuaycu</x:t>
  </x:si>
  <x:si>
    <x:t xml:space="preserve">Mónica Susana Delgado Yánez</x:t>
  </x:si>
  <x:si>
    <x:t xml:space="preserve">FONAG-AB-003-2024</x:t>
  </x:si>
  <x:si>
    <x:t xml:space="preserve">Verónica Guamán</x:t>
  </x:si>
  <x:si>
    <x:t xml:space="preserve">Viviana Velastegui</x:t>
  </x:si>
  <x:si>
    <x:t xml:space="preserve"> Evaluar la dinámica de sedimentos y color real en los ríos
Jatunhuayco y Antisana para mejorar el sistema operativo de la planta de potabilización</x:t>
  </x:si>
  <x:si>
    <x:t xml:space="preserve">* Determinar el estado actual de la calidad del agua de los ríos referente al Acuerdo Ministerial 097A, en los parámetros de color real y sedimentos comparados con la información histórica de EPMAPS.
* Evaluación espacial de la dinámica de sedimentos con QGIS</x:t>
  </x:si>
  <x:si>
    <x:t xml:space="preserve">Microcuencas Jatunhuayco y Antisana</x:t>
  </x:si>
  <x:si>
    <x:t xml:space="preserve">$ 2428 
* Se realizaron los análisis de color y sólidos en el laboratorio de la UCE</x:t>
  </x:si>
  <x:si>
    <x:t xml:space="preserve">Gabriela Camino</x:t>
  </x:si>
  <x:si>
    <x:t xml:space="preserve">Modelo de Gobernanza del Agua en la Comunidad de Yunguilla</x:t>
  </x:si>
  <x:si>
    <x:t xml:space="preserve">FLACSO</x:t>
  </x:si>
  <x:si>
    <x:t xml:space="preserve">Maestría Socioambiental FLACSO</x:t>
  </x:si>
  <x:si>
    <x:t xml:space="preserve">Anita Krainer</x:t>
  </x:si>
  <x:si>
    <x:t xml:space="preserve">Carla Pérez</x:t>
  </x:si>
  <x:si>
    <x:t xml:space="preserve">Sol Vallejo</x:t>
  </x:si>
  <x:si>
    <x:t xml:space="preserve">YUNGUILLA</x:t>
  </x:si>
  <x:si>
    <x:t xml:space="preserve">Evaluar la influencia de las variables meteorológicas en el flujo de savia de la especie Azorella aretioides en el páramo del Antisana</x:t>
  </x:si>
  <x:si>
    <x:t xml:space="preserve">Esta investigación permitirá identificar la relación entre el flujo de savia de la especie Azorella aretioides y las condiciones climáticas extremas del páramo en el Área de Conservación Hídrica Antisana. Como resultado principal, se espera determinar la sensibilidad de esta planta frente a variables como la radiación neta y el déficit de presión de vapor ($VPD$), cuantificando su consumo hídrico diario mediante el método de balance de calor en el tallo. Estos hallazgos proporcionarán una base científica para entender cómo la vegetación almohadillada contribuye a la regulación del ciclo hidrológico en ecosistemas de alta montaña, ofreciendo datos clave para la gestión de recursos hídricos y la adaptación al cambio climático en la región.</x:t>
  </x:si>
  <x:si>
    <x:t xml:space="preserve">Jordan Loachamín</x:t>
  </x:si>
  <x:si>
    <x:t xml:space="preserve">Caracterización Morfométrica de la cuenca de la quebrada Rumipamba utilizando información  levantada por equipos no tripulados.</x:t>
  </x:si>
  <x:si>
    <x:t xml:space="preserve">Civil</x:t>
  </x:si>
  <x:si>
    <x:t xml:space="preserve">Carlos Páez</x:t>
  </x:si>
  <x:si>
    <x:t xml:space="preserve">FONAG-AB-001-2025</x:t>
  </x:si>
  <x:si>
    <x:t xml:space="preserve">Ximena Riofrío</x:t>
  </x:si>
  <x:si>
    <x:t xml:space="preserve">RUMIPAMBA</x:t>
  </x:si>
  <x:si>
    <x:t xml:space="preserve">Obtener las características morfométricas de la quebrada Rumipamba con el vuelo de un dron</x:t>
  </x:si>
  <x:si>
    <x:t xml:space="preserve">* Obtención de un modelo digital de elevación (DEM) con una resolución de 10cm/pixel. Se incluirán las ortofotos multiespectrales de 7 bandas.
* Calculo de las características morfométricas de la cuenca (forma, drenaje, relieve).</x:t>
  </x:si>
  <x:si>
    <x:t xml:space="preserve">$ 4240
* La EPN y el LDT aportan con el procesamiento de imágenes, análisis morfométrico y preparación de las ortofotos y el DEM 10cm/pixel para las 680 ha</x:t>
  </x:si>
  <x:si>
    <x:t xml:space="preserve">María Jose Haro
Alexander Saldarriaga</x:t>
  </x:si>
  <x:si>
    <x:t xml:space="preserve">Evaluación de riesgos por la propagación del volumen de avenida de la Represa Rumipamba Alto ubicado en el barrio la Primavera, parroquia Belisario Quevedo en el Centro-Norte de la Ciudad de Quito</x:t>
  </x:si>
  <x:si>
    <x:t xml:space="preserve">Efrén Wilfrido Ortiz Moya</x:t>
  </x:si>
  <x:si>
    <x:t xml:space="preserve">FONAG-AB-002-2025</x:t>
  </x:si>
  <x:si>
    <x:t xml:space="preserve">Fabricio Rivera</x:t>
  </x:si>
  <x:si>
    <x:t xml:space="preserve">Delimitar las zonas de inundación por la posible rotura de la Represa Rumipamba Alto mediante el Softwre Iber para aportar a la gestión de riesgo en el DMQ.</x:t>
  </x:si>
  <x:si>
    <x:t xml:space="preserve">* Levantamiento topográfico de la represa y área conlindante en la zona urbana en donde se prevé la posible afectación
* Delimitación de la cuecna de aporte a la represa
* Actualización de los planos as built del dique para la estimación del volumen total de almacenamiento</x:t>
  </x:si>
  <x:si>
    <x:t xml:space="preserve">La Represa está en el barrio la primavera, parroquia Belisario Quevedo en el Centro-Norte de la Ciudad de Quito </x:t>
  </x:si>
  <x:si>
    <x:t xml:space="preserve">Nicolle Resabala
Darwin Tipán</x:t>
  </x:si>
  <x:si>
    <x:t xml:space="preserve">Caracterización física y climatológica de la cuenca alta, media y baja de los ríos Machángara, Monjas y San Pedro del Distrito Metropolitano de Quito</x:t>
  </x:si>
  <x:si>
    <x:t xml:space="preserve">Ambiental</x:t>
  </x:si>
  <x:si>
    <x:t xml:space="preserve">Teresa Palacios</x:t>
  </x:si>
  <x:si>
    <x:t xml:space="preserve">Mario Guallpa
Braulio Lahuatte</x:t>
  </x:si>
  <x:si>
    <x:t xml:space="preserve">FONAG-AB-003-2025</x:t>
  </x:si>
  <x:si>
    <x:t xml:space="preserve">Braulio Lahuatte</x:t>
  </x:si>
  <x:si>
    <x:t xml:space="preserve">Mario Guallpa</x:t>
  </x:si>
  <x:si>
    <x:t xml:space="preserve">MACHÁNGARA, MONJAS, SAN PEDRO</x:t>
  </x:si>
  <x:si>
    <x:t xml:space="preserve">Caracterizar de manera integral la cuenca alta, media y baja de los ríos Machángara, Monjas y San Pedro, considerando parámetros morfométricos, climatológicos, cobertura vegetal y uso del suelo.</x:t>
  </x:si>
  <x:si>
    <x:t xml:space="preserve">* Determinación de los parámetros morfométricos por cada cuenca 
* Caracterización climatológica
* Análisis de la cobertura vegetal y uso de suelo</x:t>
  </x:si>
  <x:si>
    <x:t xml:space="preserve">Cuencas de los ríos Machángara, Monjas y San Pedro</x:t>
  </x:si>
  <x:si>
    <x:t xml:space="preserve">Junior Alexander  Zambrano Vera
Ariel Alejandro Palacios Loor</x:t>
  </x:si>
  <x:si>
    <x:t xml:space="preserve">Propuesta de mejora para la Gestión del Agua en el Sistema PitaPuengasí del Distrito Metropolitano de Quito con base en la Huella Hídrica, período 2023-2024</x:t>
  </x:si>
  <x:si>
    <x:t xml:space="preserve">FONAG-AB-004-2025</x:t>
  </x:si>
  <x:si>
    <x:t xml:space="preserve">Andrea Vera</x:t>
  </x:si>
  <x:si>
    <x:t xml:space="preserve">PITA - PUENGASÍ</x:t>
  </x:si>
  <x:si>
    <x:t xml:space="preserve">Alto Pita</x:t>
  </x:si>
  <x:si>
    <x:t xml:space="preserve">Formular propuestas de mejora en la gestión del agua con base a la evaluación de la huella hídrica del sistema de agua potable Pita – Puengasí del DMQ, entre los meses de enero de 2023 y junio de 2024, aplicando la ISO 14046.</x:t>
  </x:si>
  <x:si>
    <x:t xml:space="preserve">* Cuantificación del agua en los procesos unitarios del sistema desde la captación.
* Obtención de las huellas verde, azul, gris y total del sistema.</x:t>
  </x:si>
  <x:si>
    <x:t xml:space="preserve">Sistema Pita - Puengasí</x:t>
  </x:si>
  <x:si>
    <x:t xml:space="preserve">Luis Constante
Andy Osorio</x:t>
  </x:si>
  <x:si>
    <x:t xml:space="preserve">Modelo multitemporal del cambio de cobertura vegetal y uso de suelo en las cuencas de los ríos Machángara, Monjas y San Pedro del Distrito Metropolitano de Quito entre 1990 al 2024</x:t>
  </x:si>
  <x:si>
    <x:t xml:space="preserve">__[GH</x:t>
  </x:si>
  <x:si>
    <x:t xml:space="preserve">Diego Paredes Méndez</x:t>
  </x:si>
  <x:si>
    <x:t xml:space="preserve">FONAG-AB-005-2025</x:t>
  </x:si>
  <x:si>
    <x:t xml:space="preserve">Diseñar la modelización espacial de la dinámica de cambio del uso de suelo y cobertura vegetal de las cuencas mediante un análisis multitemporal de imágenes satelitales de acceso libre entre los años 1990 al 2024 utilizando QGIS y Rstudio.</x:t>
  </x:si>
  <x:si>
    <x:t xml:space="preserve">* Cuantificación de las áreas de disminución o incremento de uso forestal, agrícola, urbano.
* Análisis de los patrones espaciales y temporales de las categorías para la predicción de escenarios futuros.
* Diseño de un mapa web interactivo para la comparación temporal.</x:t>
  </x:si>
  <x:si>
    <x:t xml:space="preserve">Roger Vega</x:t>
  </x:si>
  <x:si>
    <x:t xml:space="preserve">Pronóstico de caudales mínimos en la cuenca Pita mediante inteligencia artificial para la gestión del abastecimiento de agua potable de Quito, provincia Pichincha</x:t>
  </x:si>
  <x:si>
    <x:t xml:space="preserve">Lenin Silva</x:t>
  </x:si>
  <x:si>
    <x:t xml:space="preserve">FONAG-AB-006-2025</x:t>
  </x:si>
  <x:si>
    <x:t xml:space="preserve">Rommel Suntaxi</x:t>
  </x:si>
  <x:si>
    <x:t xml:space="preserve">PITA</x:t>
  </x:si>
  <x:si>
    <x:t xml:space="preserve">Desarrollar un modelo para pronósticos de caudales bajos en el río Pita, utilizando técnicas de inteligencia artificial, con la finalidad de aportar con información oportuna a la gestión del abastecimiento de agua potable del Distrito Metropolitano de Quito. </x:t>
  </x:si>
  <x:si>
    <x:r>
      <x:rPr>
        <x:sz val="11"/>
        <x:color rgb="FF000000"/>
        <x:rFont val="Calibri"/>
        <x:family val="2"/>
        <x:scheme val="minor"/>
      </x:rPr>
      <x:t xml:space="preserve">Esta investigación busca evaluar el potencial del material vegetal triturado de </x:t>
    </x:r>
    <x:r>
      <x:rPr>
        <x:i/>
        <x:sz val="11"/>
        <x:color rgb="FF000000"/>
        <x:rFont val="Calibri"/>
        <x:family val="2"/>
        <x:scheme val="minor"/>
      </x:rPr>
      <x:t xml:space="preserve">Lantana camara</x:t>
    </x:r>
    <x:r>
      <x:rPr>
        <x:sz val="11"/>
        <x:color rgb="FF000000"/>
        <x:rFont val="Calibri"/>
        <x:family val="2"/>
        <x:scheme val="minor"/>
      </x:rPr>
      <x:t xml:space="preserve"> como adsorbente de bajo costo para remover plomo (Pb) y cadmio (Cd) en soluciones acuosas sintéticas. Se espera determinar las condiciones óptimas de remoción mediante la variación de parámetros como el pH, la dosis de adsorbente y el tiempo de contacto. Los resultados permitirán caracterizar la eficiencia de este residuo agroindustrial a través de modelos de isotermas de adsorción y cinética química, proporcionando una alternativa técnica y económica para el tratamiento de aguas contaminadas con metales pesados.</x:t>
    </x:r>
  </x:si>
  <x:si>
    <x:t xml:space="preserve">Anderson Cuarán</x:t>
  </x:si>
  <x:si>
    <x:t xml:space="preserve">Fallida</x:t>
  </x:si>
  <x:si>
    <x:t xml:space="preserve">Evaluación Espacial de la dinámica de transporte de sedimentos en el canal afluente de la laguna Pucará del Salitre perteneciente a la Cuenca Alta del Río Pita</x:t>
  </x:si>
  <x:si>
    <x:t xml:space="preserve">FONAG-AB-007-2025</x:t>
  </x:si>
  <x:si>
    <x:t xml:space="preserve">Evaluar la dinámica del transporte de sedimentos del canal afluente de la laguna Pucará del Salitre, mediante levantamiento de información en campo y ensayos de laboratorio que aporten en la generación de un modelo hidráulico en el Software IBER </x:t>
  </x:si>
  <x:si>
    <x:t xml:space="preserve">* Identificación de la fuente de origen y características de los sedimentos presentes a lo largo del canal afluente de la laguna Pucará del Salitre.
* Generación de un modelo numérico hidráulico del transporte de sedimentos mediante el software IBER, que aporte en el planteamiento de posibles medidas de control que reduzcan el impacto de la dinámica del arrastre de sedimentos.</x:t>
  </x:si>
  <x:si>
    <x:t xml:space="preserve">Canal afluente de la laguna Pucará del Salitre</x:t>
  </x:si>
  <x:si>
    <x:t xml:space="preserve">Ariana Zumba</x:t>
  </x:si>
  <x:si>
    <x:t xml:space="preserve">Caracterización morfológica y molecular del agente causal de la muerte descendente en el árbol de papel (Polylepis incana).</x:t>
  </x:si>
  <x:si>
    <x:t xml:space="preserve">Agronomía</x:t>
  </x:si>
  <x:si>
    <x:t xml:space="preserve">Carlos Bolaños Carriel</x:t>
  </x:si>
  <x:si>
    <x:t xml:space="preserve">FONAG-AB-008-2025</x:t>
  </x:si>
  <x:si>
    <x:t xml:space="preserve">Viviana Toapanta</x:t>
  </x:si>
  <x:si>
    <x:t xml:space="preserve">NA</x:t>
  </x:si>
  <x:si>
    <x:t xml:space="preserve">PALUGUILLO</x:t>
  </x:si>
  <x:si>
    <x:t xml:space="preserve">Caracterizar morfológica y molecularmente el agente causal de la muerte descendente en el árbol de papel (Polylepis incana).</x:t>
  </x:si>
  <x:si>
    <x:t xml:space="preserve">Kevin Bejarano</x:t>
  </x:si>
  <x:si>
    <x:t xml:space="preserve">Caracterización morfológica y molecular del agente causal de la pudrición radicular y muerte descendente del pajonal (Stipa sp.) y su distribución espacial en el páramo de la reserva Antisana.</x:t>
  </x:si>
  <x:si>
    <x:t xml:space="preserve">FONAG-AB-009-2025</x:t>
  </x:si>
  <x:si>
    <x:t xml:space="preserve">ANTISANA</x:t>
  </x:si>
  <x:si>
    <x:t xml:space="preserve">Alcides Guzmán</x:t>
  </x:si>
  <x:si>
    <x:t xml:space="preserve">Evaluación de tres tratamientos con mezcla de sustratos vs un control en la siembra de una especie de Polylepis (Polylepis inkana) en vivero, para la restauración de un ecosistema nativo quiteño en el Área de Protección Hídrica Ponce Paluguillo</x:t>
  </x:si>
  <x:si>
    <x:t xml:space="preserve">USFQ</x:t>
  </x:si>
  <x:si>
    <x:t xml:space="preserve">Soluciones integrales para la gestión del Agua</x:t>
  </x:si>
  <x:si>
    <x:t xml:space="preserve">Beca de los Andes</x:t>
  </x:si>
  <x:si>
    <x:t xml:space="preserve">Evaluar la eficacia de tres tratamientos con mezclas de sustratos para Polylepis (Polylepis inkana), destinadas a los esfuerzos de restauración del FONAG en ecosistemas de páramo de importancia hídrica, para mejorar la tasa de superviviencia de las plántulas en el vivero del Área de Protección Hídrica Ponce Paluguillo</x:t>
  </x:si>
  <x:si>
    <x:t xml:space="preserve">¿Cómo los sustratos pueden reducir la alta mortalidad de las plántulas nativas cultivadas en vivero, tomando en cuenta la mejor proporción para la restauración de un ecosistema quiteño?</x:t>
  </x:si>
  <x:si>
    <x:t xml:space="preserve">Vivero de Paluguillo</x:t>
  </x:si>
  <x:si>
    <x:t xml:space="preserve">Xiomara Yépez</x:t>
  </x:si>
  <x:si>
    <x:t xml:space="preserve">Análisis de la estructura de la cadena de valor de las plantas nativas de los viveros de Las Tolas y San Francisco de Cruz Loma (Pichincha – Ecuador)</x:t>
  </x:si>
  <x:si>
    <x:t xml:space="preserve">Ingeniería en Recursos Naturales Renovables</x:t>
  </x:si>
  <x:si>
    <x:t xml:space="preserve">Byron Medina Torres</x:t>
  </x:si>
  <x:si>
    <x:t xml:space="preserve">FONAG-AB-010-2025</x:t>
  </x:si>
  <x:si>
    <x:t xml:space="preserve">Las Tolas, San Francisco de Cruz Loma</x:t>
  </x:si>
  <x:si>
    <x:t xml:space="preserve">Analizar de manera descriptiva la estructura de la cadena de valor de plantas nativas de los viveros de Las Tolas y San Francisco de Cruz Loma, adaptada a los distintos métodos de propagación empleados en su producción</x:t>
  </x:si>
  <x:si>
    <x:t xml:space="preserve">1. Determinación de los costos de producción de las plantas nativas en cada vivero, diferenciando por método de propagación y condiciones de manejo.
2. Caracterización de la cadena de valor de plantas nativas en los viveros comunitarios de Las Tolas y San Francisco de Cruz Loma, identificando los actores, eslabones y flujos de información, insumos y productos.
3. Comparación de la cadena de valor comunitaria con la de un vivero comercial, identificando fortalezas, debilidades y oportunidades de mejora para los viveros comunitarios.</x:t>
  </x:si>
  <x:si>
    <x:t xml:space="preserve">TOTAL POR LÍNEA DE INVESTIGACIÓN</x:t>
  </x:si>
  <x:si>
    <x:t xml:space="preserve">TOTAL APORTE ECAP (USD)</x:t>
  </x:si>
  <x:si>
    <x:t xml:space="preserve">LÍNEAS PRIORITARIAS DE INVESTIGACIÓN ECAP</x:t>
  </x:si>
  <x:si>
    <x:t xml:space="preserve">TOTAL  ESTUDIOS</x:t>
  </x:si>
  <x:si>
    <x:t xml:space="preserve">Indicador de Relevancia</x:t>
  </x:si>
  <x:si>
    <x:t xml:space="preserve">0-24</x:t>
  </x:si>
  <x:si>
    <x:t xml:space="preserve">Muy bajo</x:t>
  </x:si>
  <x:si>
    <x:t xml:space="preserve">25-49</x:t>
  </x:si>
  <x:si>
    <x:t xml:space="preserve">Bajo</x:t>
  </x:si>
  <x:si>
    <x:t xml:space="preserve">50-74</x:t>
  </x:si>
  <x:si>
    <x:t xml:space="preserve">Medio</x:t>
  </x:si>
  <x:si>
    <x:t xml:space="preserve">75-100</x:t>
  </x:si>
  <x:si>
    <x:t xml:space="preserve">Alto</x:t>
  </x:si>
  <x:si>
    <x:t xml:space="preserve">Apoyo para investigaciones</x:t>
  </x:si>
  <x:si>
    <x:t xml:space="preserve">Año de inicio del estudio</x:t>
  </x:si>
  <x:si>
    <x:t xml:space="preserve">Año de fin del estudio</x:t>
  </x:si>
  <x:si>
    <x:t xml:space="preserve">Acuerdo de apoyo</x:t>
  </x:si>
  <x:si>
    <x:t xml:space="preserve">Sistema al que pertence el estudio</x:t>
  </x:si>
  <x:si>
    <x:t xml:space="preserve">Área de Conservación Hídrica al que pertence el estudio</x:t>
  </x:si>
  <x:si>
    <x:t xml:space="preserve">Línea prioritaria de investigación en ECAP según encuestas</x:t>
  </x:si>
  <x:si>
    <x:t xml:space="preserve">Indicador de Relevancia Total </x:t>
  </x:si>
  <x:si>
    <x:t xml:space="preserve">Aporte total ECAP </x:t>
  </x:si>
  <x:si>
    <x:t xml:space="preserve">David Carchipulla
EPN, 2020</x:t>
  </x:si>
  <x:si>
    <x:t xml:space="preserve">Análisis probabilístico de la variabilidad espacio-temporal del humedal pugllohuma utilizando imágenes radar de apertura sintética de la misión sentinel – 1</x:t>
  </x:si>
  <x:si>
    <x:t xml:space="preserve">La Mica Quito Sur</x:t>
  </x:si>
  <x:si>
    <x:t xml:space="preserve">Analizar la variabilidad espacio-temporal del humedal Pugllohuma mediante el uso de herramientas de teledetección. Clasificar las zonas de saturación (permanente, estacional, anual) mediante el uso de árboles de decisión.</x:t>
  </x:si>
  <x:si>
    <x:t xml:space="preserve">Humedal Pugllohuma (14.2 ha y 40 drenajes artificiales). Alrededor de este humedal se ha delimitado un radio de 500 m para definir el área de estudio</x:t>
  </x:si>
  <x:si>
    <x:t xml:space="preserve">El procedimiento metodológico incluye lo siguiente: 1) Recopilación de información (monitoreo del humedal, imágenes satelitales, variables climáticas); 2) Relación entre la saturación del suelo y la retrodispersión del radar (modelos de ML basados en árboles de decisión para identificar áreas de menor a mayor nivel de saturación); 3) Clasificación supervisada (temporal: periodos de mayor y menor saturación en el humedal, periodo 2017 a 2019; espacial: áreas con diferentes niveles de saturación).</x:t>
  </x:si>
  <x:si>
    <x:t xml:space="preserve">Se comprobó que el nivel freático en el humedal se rige por el día del año, temperatura atmosférica y precipitación, por otra parte, la elevación del terreno afecta a los cambios espaciales. Con respecto a las zonas de saturación se destaca que los cambios estacionales ocurren en el centro y sur del humedal, los cambios eventuales en el sur del humedal y la acumulación permanente de agua sobre la superficie de almohadillas en el área de estudio. El nivel freático en el humedal tiene una distribución temporal de carácter estacional. El periodo de sequía ocurre en enero, febrero y marzo, y los niveles freático altos fueron más frecuentes de junio a septiembre y de noviembre a diciembre. La distribución de clases de suelo fue la siguiente: 170 ha de suelo seco, 17 ha de suelo húmedo y 7 ha cerca de la saturación.</x:t>
  </x:si>
  <x:si>
    <x:r>
      <x:t xml:space="preserve">Se recomienda establecer la relación de los cambios espacio-temporales del humedal con las variables utilizadas e incluyendo otras (ejm. radiación). Se recomienda hacer controles de cambio de crecimiento y desarrollo de individuos de la especie </x:t>
    </x:r>
    <x:r>
      <x:rPr>
        <x:i/>
        <x:sz val="11"/>
        <x:rFont val="Calibri"/>
        <x:family val="2"/>
        <x:scheme val="minor"/>
      </x:rPr>
      <x:t xml:space="preserve">Werneria nubigena</x:t>
    </x:r>
    <x:r>
      <x:rPr>
        <x:sz val="11"/>
        <x:rFont val="Calibri"/>
        <x:family val="2"/>
        <x:scheme val="minor"/>
      </x:rPr>
      <x:t xml:space="preserve"> (la retrodispersión parece estar relacionada con los cambios morfométricos de esta especie) para relacionarlos con la retrodispersión medida por el radar. Usar variaciones de los parámetros para mejorar la precisión al detectar cambios espacio-temporales. </x:t>
    </x:r>
  </x:si>
  <x:si>
    <x:t xml:space="preserve">Zonas saturación humedal</x:t>
  </x:si>
  <x:si>
    <x:t xml:space="preserve">Espinel 2019; Palma 2020; Yugsi 2018</x:t>
  </x:si>
  <x:si>
    <x:t xml:space="preserve">Xavier Zapata y David Carchipulla utilizaron imágenes satelitales para realizar esta tesis, ECAP no utilizó recursos</x:t>
  </x:si>
  <x:si>
    <x:t xml:space="preserve">Pablo Paliz
EPN, 2021</x:t>
  </x:si>
  <x:si>
    <x:t xml:space="preserve">Pronóstico del nivel de agua de 1 a 6 días del reservorio Salve Faccha utilizando modelos de redes neuronales y ANFI</x:t>
  </x:si>
  <x:si>
    <x:t xml:space="preserve">Sistema Papallacta Integrado</x:t>
  </x:si>
  <x:si>
    <x:t xml:space="preserve">Evaluar modelos de redes neuronales (RN) y un sistema basado en redes adaptativas de inferencias difusas (Adaptive Neuro-Fuzzy Inference System o ANFIS) para pronósticos del nivel medio diario de agua de 1 a 6 días en el reservorio Salve Faccha. Evaluar el desempeño de los modelos, la efectividad en época seca y lluviosa y desarrollar pronósticos con intervalos de confianza para incrementar su confiabilidad</x:t>
  </x:si>
  <x:si>
    <x:t xml:space="preserve">En este estudio se utiliza información de precipitación y niveles de agua del reservorio a escala diaria en el periodo 2012-2019, siendo el último año el periodo de prueba. Para el pronóstico de caudales a escala diaria se utiliza modelos de redes no lineales autorregresivas (NAR) con retraso máximo de 13 días y para ANFIS se utiliza hasta 4 días de retraso y el algoritmo de agrupamiento "substractive clustering" con variación del hiperparámetro de 0.5 hasta 0.8. El procesamiento de datos incluye: 1) tratamiento de la información, 2) determinación de predictores y días de retraso, 3) configuración de los modelos de RN y ANFIS (70% de los datos para entrenamiento, 15% para validación y 15% para prueba, 4) métricas de desempeño (coeficiente de correlación, RMSE, NS). El desempeño se mide para la temporada lluviosa (abril a junio) y el resto de meses como temporada seca, 5) determinación de intervalos de confianza de predicciones (técnica de Bootstrap percentile-t method), para generar intervalos de confianza de pronósticos de nivel de reservorios. </x:t>
  </x:si>
  <x:si>
    <x:t xml:space="preserve">Se generó modelos de predicción del nivel del reservorio Salve Faccha de hasta 6 días en el futuro utilizando RN y modelos ANFIS. Los modelos de RN requieren de hasta 13 días de retraso y arquitecturas menores a los 30 nodos con resultados satisfactorios. Los modelos ANFIS logran obtener resultados similares utilizando hasta 4 días de información previa, no obstane, los resultados de t+1 y t+2 son parecidos a modelos naive (teorema de Bayes) por no tener información de retraso necesaria. La precipitación es una variable que no aporta información relevante en el pronóstico del nivel. Ambos modelos proporcionan buenos resultados para la época seca, emperorando ligeramente para la época lluviosa. Los intervalos de confianza generados contribuyen a tener pronósticos con reducción de la incertidumbre que pueden provocar los modelos de Deep Learning. Los modelos ANFIS son superiores a las RN por requerir menos información para las proyeccones en el futuro.</x:t>
  </x:si>
  <x:si>
    <x:t xml:space="preserve">Pronóstico niveles en el embalse</x:t>
  </x:si>
  <x:si>
    <x:t xml:space="preserve">Se concedió acceso a las ACH</x:t>
  </x:si>
  <x:si>
    <x:t xml:space="preserve">Marcelo Amores
UTC, 2019</x:t>
  </x:si>
  <x:si>
    <x:t xml:space="preserve">EVALUACIÓN DE LA VARIACIÓN DE LA CALIDAD DEL AGUA EN LA CUENCA ALTA DEL RÍO PITA</x:t>
  </x:si>
  <x:si>
    <x:t xml:space="preserve">UTC</x:t>
  </x:si>
  <x:si>
    <x:t xml:space="preserve">Pita</x:t>
  </x:si>
  <x:si>
    <x:t xml:space="preserve">Evaluar la variación de la calidad del agua en la cuenca alta del río Pita para la determinación de su comportamiento espacio-temporal. Realizar un análisis exploratorio de la base de datos, determinar la variación espacio-temporal de la calidad desde una perspectiva integrada e identificar la relación calidad-cantidad de agua, relacionada con los periodos antes y después de la implementación de acciones de conservación.</x:t>
  </x:si>
  <x:si>
    <x:t xml:space="preserve">Cuenca alta del río Pita: dividida en tres zonas: alta (río Hualpaloma, río Carcelén, río Pita) , media (río Proaño) y baja (Bocatoma río Pita)</x:t>
  </x:si>
  <x:si>
    <x:t xml:space="preserve">El procedimiento metodológico incluye tres etapas: 1) Análisis exploratorio de datos (2000-2018) hidrometeorológicos y datos físico-químicos y microbiológicos disponible para identificar continuidad, tendencias, valores atípicos y complementación de datos faltantes, temporalidad (época seca, lluviosa, caudales altos y bajos); 2) Determinación de la calidad del recurso hídrico utilizando un índice de calidad de agua ICA multiparamétrico y multitemporal (desarrollado por el Consejo Canadiense de Ministros de Medio Ambiente CCME), y selección de parámetros para el cálculo del ICA acorde a la disponibilidad de datos; y 3) Identificación de la variación espacio-temporal de la calidad del recurso hídrico, considerando la relación calidad-cantidad de agua por medio del cálculo de los coeficientes de correlación de Pearson para la matriz de datos de los ICAs, caudales y precipitación, en los periodos antes y después de la implementación de acciones de conservación en el ACH Alto Pita.</x:t>
  </x:si>
  <x:si>
    <x:t xml:space="preserve">El análisis espacial determinó agua de mejor calidad en la parte alta, la cual se deteriora en la parte media y presente una leve recuperación en la parte baja. El análisis cantidad - calidad se realizó mediante correlación y evidencia la existencia de interacciones parciales que se incrementan en eventos extremos de tipo estacional e histórico. Los años de calidad más bajo fueron 2006, 2009 y 2012 y de mejor calidad en 2000, 2014, 2017 y 2018. Finalmente se determinó agua de buena calidad en el primer periodo analizado que paso a regular - aceptable en segunda instancia, volviendo de forma acelerada a buena calidad a partir de las acciones de conservación realizadas por la Empresa Metropolitana de agua Potable y Saneamiento (EPMAPS) y el Fondo Nacional Del Agua (FONAG).</x:t>
  </x:si>
  <x:si>
    <x:t xml:space="preserve">Mejorar la gestión de la información de calidad de agua para generar reportes más precisos y rápidos, utilizando técnicas de relleno más rápido como el algoritmo PMM. Se sugieren frecuencias iguales para los datos de calidad - cantidad, por tanto, se requiere ampliación de estaciones de monitoreo constante de calidad que se equiparen con las estaciones hidrométricas. Evaluar la influencia de los eventos altos y bajos de precipitación y caudal en la calidad del agua. </x:t>
  </x:si>
  <x:si>
    <x:t xml:space="preserve">Calidad del Agua, relación cantidad-calidad</x:t>
  </x:si>
  <x:si>
    <x:t xml:space="preserve">Se facilitó la base de datos de calidad de agua en la cuenca del río Pita levantados por EPMAPS</x:t>
  </x:si>
  <x:si>
    <x:t xml:space="preserve">Procesamiento de datos y cálculo de indicadores</x:t>
  </x:si>
  <x:si>
    <x:t xml:space="preserve">Jean Carlos Ruiz 
EPN, 2015</x:t>
  </x:si>
  <x:si>
    <x:t xml:space="preserve">Simulación de la hidrología de la cuenca Humboldt del volcán Antisana</x:t>
  </x:si>
  <x:si>
    <x:t xml:space="preserve">Física</x:t>
  </x:si>
  <x:si>
    <x:t xml:space="preserve">Simular la hidrología de la cuenca Humbolt del volcán Antisana sin tomar en cuenta el área glaciar de la cuenca.</x:t>
  </x:si>
  <x:si>
    <x:t xml:space="preserve">Cuenca Humbolt, área de 14.2 km2 con una cobertura glaciar del 14%, situada entre los 4000 msnm y 5758 msnm.</x:t>
  </x:si>
  <x:si>
    <x:t xml:space="preserve">La simulación hidrológica de la cuenca se realizó con el modelo físico DHSVM para estimar caudales, particularmente el caudal base en condiciones de variabilidad pluviométrica. Se utiliza información del modelo digital del terreno, cobertura vegetal, tipo de suelo y un mapa de la red de drenaje con una resolución de 20 x 20 m. Se utiliza también la información de precipitación, temperatura, humedad relativa, velocidad del viento y radiación de una estación meteorológica y 5 pluviógrafos. La calibración del modelo se realiza en un periodo de 5 meses (Agosto-Diciembre de 2010) a escala horaria, utilizando como parámetros sensibles la conductividad hidráulica, decrecimiento exponencial de la conductividad lateral hidráulica y los gradientes de precipitación y temperatura. Se utilizan como medida de desempeño del modelo el coeficiente de NS. </x:t>
  </x:si>
  <x:si>
    <x:t xml:space="preserve">Los resultados destacan que para la calibración se determinó un rango óptimo para cada parámetro que permite obtener un NS&gt;0.30, un R2 de 0.84, un error relativo en el volumen descargado del 1.18% y la evapotranspiración ET anual de aproximadamente el 50% de la precipitación. El modelo se validó en el periodo Enero 2005 a Mayro 2008 y bajo dos escenarios de variabilidad pluviométrica de +/- 10% de precipitación, dando como resultado que el caudal base responde a la variabilidad de la precipitación y aporta entre el 71% y 89% al caudal de la cuenca Humbolt en épocas secas y húmedas respectivamente. </x:t>
  </x:si>
  <x:si>
    <x:t xml:space="preserve">La disponibilidad de datos meteorológicos continúa siendo una limitante para realizar análisis a escala multianual, en la cual se pueden contrastar resultados con calibraciones que toman periodos de calibración de 1 a 5 años y validaciones con periodos de entre 15 y 20 años.</x:t>
  </x:si>
  <x:si>
    <x:t xml:space="preserve">Cantidad de agua</x:t>
  </x:si>
  <x:si>
    <x:t xml:space="preserve">Según los correos de Luna, Jean Carlos compartió los resultados de su tesis en el marco de la ECAP, los datos utilizados fueron obtenidos desde el IRD</x:t>
  </x:si>
  <x:si>
    <x:t xml:space="preserve">Anchundia Samaniego Adrian y
Vergara Estrada Katerinne. 
EPN, 2018</x:t>
  </x:si>
  <x:si>
    <x:t xml:space="preserve">Evaluación de la concentración y distribución espacial de nutrientes en el Embalse Salve Faccha</x:t>
  </x:si>
  <x:si>
    <x:t xml:space="preserve">Analizar la concentración y distribución espacial de nutrientes en el embalse Salve Faccha, interpretando bases de datos históricas (2002 - 2016) y analizando muestras de agua en laboratorio, para identificar eventos atípicos y las zonas con 
alta concentración de nutrientes.</x:t>
  </x:si>
  <x:si>
    <x:t xml:space="preserve">El trabajo se desarrola en tres etapas: 1) Recopilación de información: registro histórico (2002-2016), mapa del embalse y revisión de estudios realizados; 2) Campaña de muestreo en el mes de noviembre de 2017, 39 muestras puntuales en 8 puntos: selección del tipo de muestreo, prueba y preparación de quipos y materiales, visita de reconocimiento del sitio de estudio, muestreo de campo y análisis de muestras en el laboratorio; 3) Gráficas de isolíneas y perfiles verticales de nutrientes, identificación de eventos atípicos en el periodo de estudio, representadción 3D de la distribución espacial de nutrientes, identificación de zonas de alta concentración y finalmente el análisis del comportamiento del embalse.</x:t>
  </x:si>
  <x:si>
    <x:t xml:space="preserve">Se observa que en abril de 2006 se alcanzó la más alta concentración reportada de nitratos (1,2 mg/L) con Respecto a todo el registro histórico; mientras que en 2002 se presentó la más alta concentración de Ortofosfatos (0,11 mg/L). Las concentraciones más altas de nitrógeno amoniacal se observaron durante los años 2008 y 2010 con concentraciones de hasta 0,3 -0,4 mg/L durante los meses de la época seca, mientras que en el resto de los años su concentración generalmente es menor a 0,2 mg/L. A partir de los resultados obtenidos en el monitoreo ampliado realizado en 2017, se pudo evidenciar altas concentraciones de nitratos (0,6 - 0,7 Mg/L) y de nitrógeno amoniacal (0,1 - 0,22 mg/L) en la zona de transición del embalse, específicamente en dos puntos de estudio. La concentración de ortofosfatos tuvo valores significativos en todo el embalse; sin Embargo, en la zona cercana al dique se obtuvieron concentraciones de hasta 2 mg/L., mientras que los nitritos mantuvieron valores bajos sin variaciones marcadas. A partir del muestreo realizado en noviembre de 2017 para el punto “centro”, se concluye que las concentraciones de nitritos, nitratos y ortofosfatos aumentan en la columna de agua en este último año; sin embargo, la concentración de nitrógeno amoniacal obtenida, se encuentra dentro de los valores que la EPMAPS ha reportado durante este período. Los eventos atípicos identificados y las zonas que concentran mayor cantidad de nutrientes pueden atribuirse principalmente a factores como: la presencia o no de microorganismos asociados a los procesos de oxidación y reducción de los nutrientes, aporte alóctono de materia orgánica por escorrentía superficial, concentración de nutrientes asociado a la disminución del volumen de agua en la época seca y la liberación de nutrientes desde el sedimento debido a las condiciones de hipoxia o anoxia en el fondo.
</x:t>
  </x:si>
  <x:si>
    <x:t xml:space="preserve">S recomienda realizar muestreos periódicos en la época seca como en la lluviosa y que la toma de muestras de nutrientes se realiza a la misma hora del día para evitar interferencias relacionadas con la radiación solar, nubosidad, acción del viento, oleaje, entre otros. Considerar además puntos de muestreo en la zona de transición y lacustre que concentran altas cantidades de nutrientes. Realizar un análisis de sedimentos para conocer su composición e interacción con el embalse. Estudiar la influencia de los tributarios en la distribución y dinámica de nutrientes dentro del cuerpo de agua. </x:t>
  </x:si>
  <x:si>
    <x:t xml:space="preserve">Calidad del Agua, nutrientes</x:t>
  </x:si>
  <x:si>
    <x:t xml:space="preserve">Fuertes, 2013</x:t>
  </x:si>
  <x:si>
    <x:t xml:space="preserve">Manejo de Embalses</x:t>
  </x:si>
  <x:si>
    <x:t xml:space="preserve">Preguntar EPMAPS, pero se hizo como parte del convenio con EPN</x:t>
  </x:si>
  <x:si>
    <x:t xml:space="preserve">Jacome Alarcon Edison y
Velasquez Moreta Karen. 
EPN, 2018</x:t>
  </x:si>
  <x:si>
    <x:t xml:space="preserve">Análisis de la concentración y distribución espacial de parámetros físicos en el Embalse Salve Faccha</x:t>
  </x:si>
  <x:si>
    <x:t xml:space="preserve">Analizar la concentración y distribución espacial de los parámetros físicos (clorofila-a, turbidez, color, conductividad, contenido de sólidos y temperatura) en el embalse Salve Faccha, interpretando bases de datos históricos y analizando muestras de agua en laboratorio, para identificar eventos atípicos durante el periodo 2002-2016 y periodos de estratificación térmica.</x:t>
  </x:si>
  <x:si>
    <x:t xml:space="preserve">La metodología incluye lo siguiente: 1) Recopilación de información base: representación del registro histórico de datos 2002-2016; 2) Campaña de muestreo: identificación de los puntos de muestreo (8 puntos distribuidos en el centro, dique y descarga de los tributarios), equipo de trabajo de campo, muestreos (los días 15, 17, 21, 22, y 23 de noviembre); 3) Análisis en laboratorio de 39 muestras, 4) Elaboración de isolíneas anuales con los datos de años históricos con monitoreo mensual y perfiles anuales para años cuyo monitoreo mensual no es continuo, 5) Representación de la información en gráficas 3D para conocer la distribución espacial en el embalse. </x:t>
  </x:si>
  <x:si>
    <x:t xml:space="preserve">La temperatura en el embalse indica una tendencia cíclica para cada año, meses cálidos con periodos de estratificación (enero a mayo, septiembre a diciembre), meses restantes fríos con periodo de mezcla. Se detectaron eventos atípicos ocurridos en el periodo de estudio  (2002-2016) en función de cada parámetro analizado, así como un escenario de su comportamiento. El embalse presenta una estratificación leve evidenciada por los parámetros de temperatura, pH, turbidez y oxígeno disuelto, así como también, se 
observa que la disminución de transparencia y aumento de color y turbidez en los puntos centro y dique, es producida mayormente por material orgánico presente.</x:t>
  </x:si>
  <x:si>
    <x:t xml:space="preserve">Establecer un mejor control y monitoreo de los parámetros de interés en varios meses seguidos con diferentes estacionalidades, así como incrementar el número de muestras para contar con una mayor cantidad de información. Los tributarios son una parte fundamental del comportamiento del embalse y en la distribución de concentraciones por lo que se recomienda caracterizar el origen de estos como superficiales o subterráneos.</x:t>
  </x:si>
  <x:si>
    <x:t xml:space="preserve">Calidad del agua: Parámetros físicos</x:t>
  </x:si>
  <x:si>
    <x:t xml:space="preserve">Andrés Felipe Jordán Carrión y 
Dayanna López Armijos
EPN, 2019</x:t>
  </x:si>
  <x:si>
    <x:t xml:space="preserve">Análisis de las variaciones morfométricas y batimétricas del embalse La Mica, período 2007 - 2018</x:t>
  </x:si>
  <x:si>
    <x:t xml:space="preserve">Obtener información batimétrica y morfométrica actualizada del embalse La Mica, mediante el levantamiento del información de campo, contrastar con los estudios de 2007, determinar el estado trófico del cuerpo de agua, proporcionar la ecuación volumen/nivel del embalse, elaborar un protocolo de batimetrías, con procedimientos de campo y análisis de resultados.</x:t>
  </x:si>
  <x:si>
    <x:t xml:space="preserve">La metodología incluye los siguientes pasos:1) Levantamiento de información morfométrica (utilizando una ecosonda RiverSurveyor M9): definición de transectos (218 transectos paralelos al dique), adaptación del equipo según las condiciones hidrometeorológicas, medición en campo (entre agosto y diciembre de 2018), definición del perímetro 2018 (con una ortofoto del año 2015); 2) Tratamiento de datos: análisis del error en los interpoladores, generación del mapa batimétrico (curvas de nivel cada metro), generación de la curva hipsográfica; 3) Determinación de parámetros superficiales y subsuperficiales actuales; 4) Elaboración de la ecuación Volumen/Nivel instantáneo; 5) Evolución del estado trófico del embalse.</x:t>
  </x:si>
  <x:si>
    <x:t xml:space="preserve">El análisis de los cambios morfométricos del embalse La Mica entre los años 2007 y 2018 indica que no existen variaciones apreciables en los parámetros superficiales. Sin embargo, el volumen total disminuyó un 0,16%, producto de la acumulación de sedimentos en el fondo a lo largo de estos 11 años. La carga de sedimentos provenientes de los tributarios y de la cuenca, son transportados por las corrientes de agua, y se depositan en la cubeta central del reservorio. Ocurre lo contrario con el volumen útil, el cual aumentó en un 0,53% a causa de un aumento de pendientes sobre los 3909 metros de altura, la cual se da por desgaste de las paredes a lo largo de esta zona, causada por la dinámica del agua sobre la superficie acuática. La Mica es un cuerpo de agua grande (&gt; 2 km2) de poca profundidad e irregular debido a la alta sinuosidad de su línea de costa, lo cual propicia el ingreso de nutrientes y sedimentos desde la cuenca. Tiene baja tendencia a la estratificación y presenta forma de U, correspondiente a la evolución del sistema. Tiene una tendencia hacia la oligotrofia en base a los datos de los últimos 16 años. Se dispone de una ecuación volumen/nivel instantáneo actualizada al año 2018. Se elaboró un protocolo para la realización de batimetrías en el embalse La Mica.</x:t>
  </x:si>
  <x:si>
    <x:t xml:space="preserve">Los meses recomendables por las condiciones climáticas (viento, oleaje) para trabajar en campo son de septiembre a marzo. Obtener el contorno actualizado del cuerpo de agua utilizando ortofotos de alta resolución (menor a 1m/pixel) para reconocer las zonas de agua y tierra con mayor exactitud. Aplicar la validación cruzada para la selección del mejor interpolador de un conjunto de datos. Considerar el aumento de la distancia de separación entre transectos a 80 m, ya que el producto obtenido varía 1.07% al compararlo con los resultados a 20 m que se propone usualmente en los TDRs de la EPMAPS.</x:t>
  </x:si>
  <x:si>
    <x:t xml:space="preserve">Recalde, 2007</x:t>
  </x:si>
  <x:si>
    <x:t xml:space="preserve">Enriquez Guerrero Juan y Poma Quijije Maximo
EPN, 2019</x:t>
  </x:si>
  <x:si>
    <x:t xml:space="preserve">Evaluación de la concentración y distribución espacial de nutrientes en el Embalse La Mica</x:t>
  </x:si>
  <x:si>
    <x:t xml:space="preserve">Determinar la distribución espacial de la concentración de nutrientes en el embalse La Mica, analizando los cambios de las concentraciones típicas de los nutrientes, por medio de datos históricos y recopilación de muestras de campo.</x:t>
  </x:si>
  <x:si>
    <x:t xml:space="preserve">La metodología incluye las siguientes etapas: 1) Información base (informes y registros históricos de calidad del agua 1997 - 2016), elaboración de isolíneas y perfiles, análisis espacial y elaboración de gráficas tridimensionales; 2) Campaña de muestreo ejecutada los días 5, 6, 12, 19 y 25 de septiembre de 2018 de nutrientes y parámetros físico-químicos del embalse, elección de los puntos de muestreo, equipos y materiales, progrma de muestreo; 3) Ensayos de laboratorio (fósforo total, nitrógeno total, nitratos, nitritos, nitrógeno amoniacal y fósforo reactivo soluble, se recolectaron 37 muestras de agua; 4) Identificación de eventos atípicos e identificación de zonas de alta concentración; 5) Análisis del comportamiento del embalse.</x:t>
  </x:si>
  <x:si>
    <x:t xml:space="preserve">En base a la información actual y registros históricos, se concluye que las concentraciones típicas de este embalse fueron 0.01 – 0.1 mg/l para fósforo reactivo soluble; 0.01 – 0.16 mg/l para nitrógeno amoniacal y 0.1 – 0.4 mg/l para nitrato. En el caso de los nitritos, la falta de datos históricos hizo difícil determinar concentraciones típicas, sin embargo, en las determinaciones actuales se reportan valores que oscilan entre 0,008 mg/l a 0,15 mg/l. Los resultados obtenidos muestran una mayor concentración de nutrientes en los meses de mayo, junio y julio de cada año (mayores precipitaciones y temperaturas más bajas). La distribución espacial de los nutrientes en el cuerpo de agua es dispersa, con marcadas tendencias a tener valores más altos en el dique y la cola del embalse, mientras que la distribución en profundidad no presenta una estratificación marcada.</x:t>
  </x:si>
  <x:si>
    <x:t xml:space="preserve">Se recomienda realizar un estudio para cuantificar la aportación de nutrientes por parte de los tributarios, además conocer el comportamiento de las truchas en el embalse. Implementar estaciones de medición constante de temperatura. Hacer un estudio de la distribución de las especies fitoplantónicas y nutrientes en el embalse. Complementar el estudio con un análisis de sedimentos del embalse. Realizar una modelación de la dinámica de los factores físico-químicos y biológicos del embalse y transporte de sedimentos para poder establecer sistemas de gestión para el uso del suelo de la cuenca del embalse.</x:t>
  </x:si>
  <x:si>
    <x:t xml:space="preserve">Calidad del agua: nutrientes</x:t>
  </x:si>
  <x:si>
    <x:t xml:space="preserve">Andrade y Escobar, 2018</x:t>
  </x:si>
  <x:si>
    <x:t xml:space="preserve">Kevin Oña y Paúl Lozada. 
EPN, 2020
</x:t>
  </x:si>
  <x:si>
    <x:t xml:space="preserve">Evaluación del estado trófico de un embalse altoandino caso de estudio embalse Succus</x:t>
  </x:si>
  <x:si>
    <x:t xml:space="preserve">Evaluar el estado trófico del embalse Sucus mediante la aplicación del Índice de Estado Trófico Modificado de Toledo Jr. y valores límites de la OCDE para conocer los cambios en la concentración y distribución de nutrientes. Elaborar el mapa batimétrico, ecuación del embalse, cambios morfométricos (2004-2018), generar isolíneas y perfiles de distribución en profundiad de los parámetros de calidad del agua, identificar zonas de mayor variación e interpretar los resultados de la campaña de muestreo.</x:t>
  </x:si>
  <x:si>
    <x:t xml:space="preserve">Embalse Sucus</x:t>
  </x:si>
  <x:si>
    <x:t xml:space="preserve">El procedimiento metodológico incluye tres etapas: 1) Recopilación bibliográfica, planificación del levantamiento batimétrico (campaña de 3 días consecutivos, 17, 18 y 19 diciembre de 2018), análisis de la base de datos histórica 2004-2018 (depuración de datos y generación de isolíneas y perfiles verticales; 2) Levantamiento de transectos en el campo, tratamiento de datos, determinación de parámetros morfométricos, mapa batimétrico, planificación del muestreo (9 puntos de muestreo en todo el embalse) y toma de muestras (en junio y julio de 2019, 20 muestras de 4 diferentes puntos y 22 muestras en los puntos restantes), análisis de muestras en el laboratorio de la EPN, tratamiento de datos y gráficos 3D, distribución espacial; 3) Análisis de resultados.</x:t>
  </x:si>
  <x:si>
    <x:t xml:space="preserve">Es un cuerpo de agua oligotrófico con tendencia a la mesotrofía. En dos puntos dentro del embalse (P1 y P2) existe una mayor abundancia de nutrientes, oxígeno y variabilidad térmica, el nivel trófico del embalse se ve claramente afectado por su morfología y el aporte de materia orgánica proveniente de las orillas del cubeto. La mayor variación de fósforo total se da en la zona nororiental del embalse (zona inundada menos profunda), variación considerable de oxígeno, temperatura y nutrientes (fósforo y nitratos) en la zona centro. La clorofila-a llega a tener valores de hasta 8 ug/l.</x:t>
  </x:si>
  <x:si>
    <x:t xml:space="preserve">Realizar campañas de monitoreo al menos una vez cada dos meses de parámetros físico-químicos y nutrientes para un mejor entendimiento del funcionamiento de este cuerpo de agua.  Realizar una  correcta calibración y revisión de los equipos a utilizarse en campo. Utilizar la metodología Nusch para los análisis de clorofila-a y obtener información más detallada, entender la disponibilidad de biomasa y otros factores característicos de un embalse altoandino.</x:t>
  </x:si>
  <x:si>
    <x:t xml:space="preserve">Jhonatan Cevallos y Cristina Pozo. 
EPN, 2020</x:t>
  </x:si>
  <x:si>
    <x:t xml:space="preserve">Estudio de la evolución del nivel de trofía del embalse Mogotes (1997-2018)</x:t>
  </x:si>
  <x:si>
    <x:t xml:space="preserve">Evaluar el estado trófico del embalse Mogotes en el periodo 1997-2018 y de los datos obtenidos en campaña de muestreo, mediante la aplicación del índice de estado trófico modificado por Toledo Jr y valores límites de la OCDE. Levantar información batimétrica, evaluar cambios en los parámetros físico-químicos mediante generación de isolínes y perfiles, evidenciar la distribución espacial de los parámetros físico-químicos miediante gráficas tridimensionales.</x:t>
  </x:si>
  <x:si>
    <x:t xml:space="preserve">Embalse Mogotes</x:t>
  </x:si>
  <x:si>
    <x:t xml:space="preserve">La metodología incluye las siguientes etapas: 1) Recopilación y análisis de la información: registro histórico (1997-2018), visitas preliminares, pruebas de equipos; 2) Levantamiento batimétrico (marzo de 2019) con una ecosonda RiverSurveyor M9 de SonTek: definición de la malla de barrido (transectos cada 20m), determinación parámetros morfométricos, 3) campañas de muestreo (25 y 27 de junio de 2019, 43 muestras): identificación de puntos de muestreo, y análisis de muestras en laboratorio, 4) Interpretación de la morfometría del embalse, generación de isolíneas y perfiles verticales de parámetros físico-químicos, identificación de eventos atípicos; 5) en base a las muestras, generación de gráficas 3D de la distribución espacial de los parámetros físico-químicos, identificación de zonas de mayor concentración e identificación del estado trófico del embalse; 5) Análisis del comportamiento del embalse.</x:t>
  </x:si>
  <x:si>
    <x:t xml:space="preserve">Presenta una forma subrectangular alargada,  de cubeta cóncava ligeramente convexa, con forma de U, cuerpo de agua profundo de pequeña área superficial (0.621 km2). Es un embalse polimíctico (sus aguas se mezclan vertical y complentamente muchas veces al año). Mantiene un pH neutro durante todo el año, con concentraciones de OD mayores a 2 mg/L que sostiene las comunidades biológicas aerobias presentes. En mayo y junio de 2009 y 2010 el oxígene es menor a 0.5 mg/L en la zona profunda, indicando un aumento de la actvidad microbiana. En 2013 un mayor aumento de clorofila-a con valores en la zona fótica de 11 y 22 ug/L en febrero y noviembre, respectivamente. En febrero y diciembre de 2003 aumento en las concentraciones de nitratos y nitritos, 1600 ug/L y 143 ug/L, respectivamente, por un incremento en el proceso de nitrificación. En la zona de transición se identifica mayor temperatura y clorofila-a. El embalse presenta características meso-oligotróficas, constatándose en 2019 una oligotrofía medida en época lluviosa.</x:t>
  </x:si>
  <x:si>
    <x:t xml:space="preserve">Se recomienda hacer los muestreos en los meses de febrero, abril, junio, agosto, octubre y diciembre para tener un registro histórico con mejor secuencia. Instalar un estación meteorológica en las cercanías del embalse. Realizar estudios morfológicos periódicos para disponer una base histórica. Caracterizar el agua de los tributarios y análisis de sedimentos en el cuerpo de agua para conocer su composición y su relación con el funcionamiento del embalse. </x:t>
  </x:si>
  <x:si>
    <x:t xml:space="preserve">Rón y Guadalupe, 2014</x:t>
  </x:si>
  <x:si>
    <x:t xml:space="preserve">Gianni Carolina Défaz Visuete
Henry Alejandro Gualoto Simbaña
EPN, 2020</x:t>
  </x:si>
  <x:si>
    <x:t xml:space="preserve">Evaluación de la eficiencia de tres activadores biológicos aplicados a pilas de compostaje ubicadas en San Francisco de Cruz Loma</x:t>
  </x:si>
  <x:si>
    <x:t xml:space="preserve">Evaluar la eficiencia del suero de leche, fermento de alfalfa y microorganismos eficientes autóctonos (EMAs, siglas en inglés) como activadores biológicos, aplicados en pilas de compostaje elaboradas en un ecosistema de páramo para optimizar su tiempo de maduración. Caracterizar los residuos orgánicos generados, evaluar las características físico-químicas del compost, determinar la eficiencia de los activadores biológicos en la maduración del compost.</x:t>
  </x:si>
  <x:si>
    <x:t xml:space="preserve">Comunidad de San Francisco de Cruz Loma, ubicada en la Parroquia Lloa, residuos generados en los domicilios y actividades propias de ASOCRUZLOMA</x:t>
  </x:si>
  <x:si>
    <x:t xml:space="preserve">La metodología incluye lo siguiente: 1) Caracterización de residuos sólidos en ASOCRUZLOMA, definición del tamaño de la muestra representativa, procedimiento para la caracterización de los residuos sólidos (capacitación, viviendas participantes en el muestreo, clasificación de residuos, recolección y transporte al sitio de caracterización), determinación de la generación per cápita y la generación total diaria de residuos domiciliarios, de la composición física (orgánico biodegradable, papel y cartón, metales, plásticos, vidrios y otros (caucho, cuero, tierra)), determinación de la tasa de generación diaria de residuos agrícolas y ganaderos, generación total diaria de residuos de ASOCRUZLOMA; 2) Obtención de los activadores biológicos aplicando diferentes metodologías según el activador, técnicas de siembra y cosecha de EMAs (selección del lugar, siembra de microorganismos eficientes autóctonos, cosecha de los microorganismos), suero de leche, fermento de alfalfa; 3) Preparación de los activadores biológicos; 4) Elaboración de las pilas de compostaje; 5) Manejo de las pilas de compostaje; 6) Monitoreo del proceso de compostaje en campo (temperatura, pH, humedad); 7) Determinación de parámetros físicos y químicos del compost maduro; 8) Determinación del rendimiento del proceso de compostaje; 9) Selección del activador biólogico eficiente.</x:t>
  </x:si>
  <x:si>
    <x:t xml:space="preserve">Los residuos generados diariamente en ASOCRUZLOM (195.7 kg residuos de cosecha, 112 kg estiércol de vaca y caballo, 75.4 kg estiércol de cuy y conejo y 17.22 kg residuos domiciliarios, estos últimos 87% orgánico y 13% inorgánicos, especialmente plástico 5%). Las tasas de gneración de residuos de cosecha de estiércol de cuy y conejo y de estiércol de vaca y caballo con valores de 1.62 kg/ha*día, 0.29 kg/cabeza*día y 1 kg/cabeza*día respectivamente, y la generación total de residuos sólidos en ASOCRUZLOMA de 400.32 kg/día. Con los residuos se procedió al armado de 12 pilas de compostaje en bloques al azar aplicando los activadores. Los resultados destacan que el activador EMAs como el más eficiente, ya que logra reducir en un 50% el tiempo de maduración, a pesar de desarrollarse en un ecosistema de páramo.</x:t>
  </x:si>
  <x:si>
    <x:t xml:space="preserve">Implementar un sistema de gestión de residuos separados. Considerar la época del años para recolectar los residuos agrícolas y ganaderos, ya que a finales de invierno existe mayor generación producto de las cosechas. Realizar más estudios del compostaje en un ecosistema de páramo para establecer el rango de temperatura que define cada etapa del proceso. Disminuir la generación de plásticos de ASOCRUZLOMA, en su lugar utilizar vajillas biodegradables o reutilizables dentro de las actividades de ecoturismo. </x:t>
  </x:si>
  <x:si>
    <x:t xml:space="preserve">Gestión de residuos orgánicos generados en la comunidad</x:t>
  </x:si>
  <x:si>
    <x:t xml:space="preserve">Se realizó el vinculo con la comunidad San Francisco de Cruz Loma. Los estudiantes cubrieron el resto</x:t>
  </x:si>
  <x:si>
    <x:t xml:space="preserve">Se utilizaron los laboratorios del Cicam para realizar las estrategias de compostaje</x:t>
  </x:si>
  <x:si>
    <x:t xml:space="preserve">Michael Nuñez, Rafael Alulema
UCE, 2019</x:t>
  </x:si>
  <x:si>
    <x:t xml:space="preserve">Caracterización hidrogeológica en el área de conservación hídrica Ponce Paluguillo</x:t>
  </x:si>
  <x:si>
    <x:t xml:space="preserve">Definir las propiedades hidrogeológicas de las unidades litológicas de la subcuenca del río Carihuaycu para determinar la dinámica del agua subterránea y definir un modelo hidrogeológico conceptual que permita su futuro aprovechamiento con una gestión eficiente de conservación del ecosistema de páramo y del recurso hídrico. Mapeo litológico-estructural, inventario de puntos de agua, análisis físico-químicos.</x:t>
  </x:si>
  <x:si>
    <x:t xml:space="preserve">Margen occidental de la Caldera Chacana en la Cuenca alta del río Carihuaycu</x:t>
  </x:si>
  <x:si>
    <x:t xml:space="preserve">Se divide en cuatro etapas: 1) Compilación y análisis de trabajos previos en la zona de estudio (informes, publicaciones, DEM 4 m resolución, ortofotos, mapas de contorno); 2) Trabajos de campo y laboratorio (mapeo litológico, recolección de muestras, inventario de puntos de agua de la subcuenca, recolección de muestras para el análisis geoquímico); 3) Balance hídrico y elaboración del mapa de litopermeabilidades (características litológicas calificadas en base a parámetros como porosidad y permeabilidad); 4) Interpretación de datos mediante la elaboración de esquemas y figuras de distribución de los diferentes elementos químicos (software Diagrammes), realización del modelo hidrogeológico conceptual preliminar para representar el comportamiento hidrogeológico del acuífero.</x:t>
  </x:si>
  <x:si>
    <x:t xml:space="preserve">El comportamiento hidrogeológico de la zona es complejo, los materiales volcánicos presentan propiedad hidráulicas que varían en función de su litología, tamaño de grano, pueden estar relacionados con esfuerzos tectónicos que origina estructuras secundarias rompiendo la continuidad de las rocas. Los depósitos glaciares (alta porosidad y permeabilidad), Lavas Andesíticas y Dacíticas Negras podrían situar un acuífero por sus características físicas. Existen tres zonas hídricas: la zona de recarga, la zona de transición  y la zona de descarga. Los análisis físico-químicos indican una baja conductividad eléctrica, en la fuente hipotermal el pH es levemente ácido y en la muestra del río Carihuaycu el pH es ligeramente básico. La geoquímica del agua y el trazado de líneas de flujo indican una composición bicarbonatada poco salina y la presencia de una zona superior de recarga, con flujo activo, generalmente con recorridos y tiempos de permanencia cortos.</x:t>
  </x:si>
  <x:si>
    <x:t xml:space="preserve">Medir la precipitación y temperatura entre las estaciones Itulcachi y La Virgen. Realizar campaña de adquisión geofísica en la subcuenca del río Carihuaycu por medio de métodos eléctricos para generar modelos de resistividad. Instalar piezómetros para medir la presión positiva del agua y tensiómetros para medir la presión negativa y establecer un plan de monitoreo periódico de niveles. Estaciones de aforo en las vertientes del río Carihuaycu. Contar con un periodo prolongado y sistemático de muestreo geoquímico en manantiales y aguas superficiales de los ríos de la subcuenca del río Carihuaycu (observar la química, isotopía para contar con una mayor precisión de las zonas de recarga).</x:t>
  </x:si>
  <x:si>
    <x:t xml:space="preserve">Caracterización hidrogeológica</x:t>
  </x:si>
  <x:si>
    <x:t xml:space="preserve">Permisos de ingreso y acompañamiento de guardaparques en el ACH. </x:t>
  </x:si>
  <x:si>
    <x:t xml:space="preserve">Myriam  Yugsi  
UCE, 2018</x:t>
  </x:si>
  <x:si>
    <x:t xml:space="preserve">Estudio "hidrogeológico" del humedal Pugllohuma</x:t>
  </x:si>
  <x:si>
    <x:t xml:space="preserve">Ingeniería en Geología</x:t>
  </x:si>
  <x:si>
    <x:t xml:space="preserve">Realizar la caracterización hidrogeológica del humedal Pugllohuma definiendo sus límites y estimando la conductividad hidráulica para establecer un volumen aproximado de almacenamiento de agua en la unidad hidrogeológica. </x:t>
  </x:si>
  <x:si>
    <x:t xml:space="preserve">Humedal Pugllohuma</x:t>
  </x:si>
  <x:si>
    <x:t xml:space="preserve">La metodología incluye los siguientes pasos: 1) Recopilación de información y caracterización física; 2) Caracterización hidrometeorológica; 3) Balance hídrico; 4) Levantamiento de datos geológicos e hidrogeológicos (ensayos de campo, pruebas de infiltración en los pozos del humedal (16 pozos existentes), toma de lectura de la lámina de agua del nivel estático - nivel freático en equilibrio; 5) Caracterización hidrogeológica (características químicas de pH, conductividad eléctrica de los manantiales y drenajes de agua dentro y fuera del humedal; 6) Mapa hidrogeológico (características de permeabilidad de la formación geológica e hidrogeológica).</x:t>
  </x:si>
  <x:si>
    <x:t xml:space="preserve">El balance hídrico del humedal Pugllohuma en el periodo 2012-2016 muestra una recarga potencial anual de 183 m que representa el 25% de la precipitación anual. Se estableción un mapa de litopermeabilidades con dos zonas de permeabilidad que varía de media a media-baja. El mapa de isopiezas y las pruebas de conductividad hidráulica saturada de los 16 pozos  proporcionan un valor promedio de 0,001 cm/s con material de Arena limosa , la velocidad real del flujo del humedal de 0,14 m/día con un caudal de 0,25 l/s considerando la sección transversal de la parte media del área en sentido NW-SE, el posible volumen almacenado se calculó en 89725,4 m3. El mapa hidrogeológico estableció una sola unidad hidrogeológica compuesta de ceniza y lahar con un espesor aproximado de 4 m, invadida de agua de carácter subterráneo con una conductividad eléctrica &gt; 150uS/cm, de permeabilidad primaria y porosidad intergranular de régimen media - baja, la zona de recarga en la parte NE y la zona de descarga dirigida hace el SW, tomando una zona de transición en la parte central de mayor acumulación de la napa de agua. Se presume que es el reflejo de un acuífero tipo Acuitardo por su gran capacidad de almacenamiento y su lenta velocidad de 0,14 m/día, por tanto es importante continuar con el cuidado y conservación, limitando la influencia del ganado.</x:t>
  </x:si>
  <x:si>
    <x:t xml:space="preserve">Colocar una estación hidrometeorológica para registrar temperatura y precipitación. Realizar una campaña geofísica y 3 perforaciones mínimo de 10 m en la parte superior, central e inferior del humedal con la descripción litológica para delimitar mejor la geometría de la unidad hidrogeológica. Colocar un sensor para cada transecto de pozos para un monitoreo continuo del nivel freático y evaluar la recarga del agua. Modificar el diseño de los pozos de monitoreo para evitar distorsionar los resultados. Realizar análisis químcios completos de los manantiales y drenaje principal del humedal para carcterizar mejor el origen de las aguas del lugar. Planes de manejo de restauración con mayor cuidado en la zona de recarga, restringiendo el paso, ayudando a la recuperación de la vegetaión, colocar mallas o cercas en los pozos para evitar contaminación.</x:t>
  </x:si>
  <x:si>
    <x:t xml:space="preserve">Henry Jativa
UCE, 2018</x:t>
  </x:si>
  <x:si>
    <x:t xml:space="preserve">Estudio "hidrogeológico" de las microcuencas 1 y 2 del río Jatunhuacyu</x:t>
  </x:si>
  <x:si>
    <x:t xml:space="preserve">Realizar la caracterización hidrogeológica de las microcuencas 1, 2 y 3 de la Unidad Hídrica Jatunhuaycu, con datos geológicos, meteorológicos, balances hídricos y análisis químicos de las propiedades químicas del agua, para determinar zonas de potencial interés hidrogeológico. Elaborar el modelo hidrológico conceptual.</x:t>
  </x:si>
  <x:si>
    <x:t xml:space="preserve">Microcuencas 1, 2 y 3 de la unidad hídrica Jatunhuaycu</x:t>
  </x:si>
  <x:si>
    <x:t xml:space="preserve">Se emplean los datos de precipitación y temperatura de las estaciones de FONAG y EPMAPS en la zona de estudio, se utiliza ArcGIS para la elaboración del mapa Litológico en base a los datos de campo que se recopilan en 4 salidas. Se realiza la caracterización química del agua en base a los parámetros de pH y conductividad empleando un multiparámetro con el que se determina si el agua de la zona es superficial, sub-superficial o subterránea. Se elabora un mapa de Litopermeabilidades en base a la litología determinada en campo y complementada con información secundaria (parámetros de porosidad y permeabilidad de los materiales encontrados). Finalmente se elabora un modelo hidrogeológico conceptual de las microcuencas en base a la metodología empleada por EPMAPS empleando ArcGIS y el modelo 3D empleando el software SURFER 13.</x:t>
  </x:si>
  <x:si>
    <x:t xml:space="preserve">El balance hídrico de las microcuencas 1, 2 y 3 muestra que aproximadamente la recarga multianual con respecto a la precipitación durante el periodo 2012-2016 es de 16,88%, 17,68% y 21.48%, respectivamente. De acuerdo al mapa de isopiezas y líneas de flujo existen tres zonas hídricas: zona de recarga en la parte más alta (microcuenca 3 y la parte alta de la microcuenca 2), zona de transición (parte central de la microcuenca 2) y la zona de descarga (parte baja de la microcuenca 2 y la microcuenca 1), que se genera por el escurrimiento en el estrato superficial de suelo y que aporta a los drenajes secundarios que aguas abajo confluyen con el río Jatunhuaycu. El análsis químico indica que el área de estudio existe agua superficial a sub-superficial y de recarga local y se puede presumir la presencia de un acuífero en la microcuenca 3 y un acuicludo en la microcuenca 1 y 2 . El modelo hidrogeológico conceptual permite establecer los sectores de mayor importancia hídrica en la zona de estudio. Al definir zonas hídricas se puede aplicar de manera efectiva el plan de restauración de pármos planteado por el FONAG (reforestación de páramos con especies nativas, evitar exceso escurrimiento, erosión del suelo, restricción del ganado) logrando así la conservación del recurso hídrico.</x:t>
  </x:si>
  <x:si>
    <x:t xml:space="preserve">Intalar estaciones hidrometeorológicas en las microcuencas 1, 2 y 3. Realizar una campaña geofísica en toda la zona de estudio para confirmar la presencia de cuerpos de agua subterránea, nivel freático y la geometría de los mismos. Complementar el análsisi químico del agua para determinar con mayor presición el tipo de agua que existen en la zona. Ampliar el estudio a toda la cuenca del río Jatunhuaycu para determinar otras zonas en las que posiblemente puedan existir cuerpos de agua. </x:t>
  </x:si>
  <x:si>
    <x:t xml:space="preserve">Permisos de ingreso y acompañamiento de guardaparques en el ACH. Prestamo de multiparámetro FONAG para mediciones</x:t>
  </x:si>
  <x:si>
    <x:t xml:space="preserve">Enrique Quinteros
EPN, 2017</x:t>
  </x:si>
  <x:si>
    <x:t xml:space="preserve">Respuesta hídrica de suelos de páramo bajo diferentes niveles de degradación, estudio de caso a escala de parcela</x:t>
  </x:si>
  <x:si>
    <x:t xml:space="preserve">Identificar el comportamiento hidrológico de los suelos de páramo bajo diferentes niveles de vegetación. Cuantificar la pérdida de suelo y escorrentía en diferentes niveles de degradación, caracterizar las propiedad físico-químicas del suelo, describir las diferentes coberturas vegetales en las parcelas de escorrentía.</x:t>
  </x:si>
  <x:si>
    <x:t xml:space="preserve">Arenal de una microcuenca de la Unidad Hidrográfica Jatunhuaycu (aproximadamente 21 ha)</x:t>
  </x:si>
  <x:si>
    <x:t xml:space="preserve">El marco metodológico incluye las siguientes actividades: 1) Criterios para la selección de los sitios específicos (grado o niveles de alteración (6 niveles), densidad cobertura vegetal, pendiente, accesibilidad); 2) Caracterización hidrodinámica de los niveles de degradación: perfiles de los suelos en cada nivel, parámetros físico-químicos del suelo (2 campañas de muestreo marzo y noviembre de 2016), prueba de pozo invertido (determinar conductividad hidráulica en los diferentes niveles), parcelas de escorrentía (evaluar escorrentía y erosión hídrica superficial del suelo según el nivel en el que se encuentran), registro de eventos de precipitación (de febrero a noviembre de 2016). </x:t>
  </x:si>
  <x:si>
    <x:t xml:space="preserve">La respuesta hidrológica de los suelos en los niveles de degradación (excepto el escenario de una zona poco intervenida, nivel 6) está controlada por procesos de infiltración rápida hacia las capas más profundas afectando la capacidad de regulación hídrica. A medida que el nivel de degradación se intensifica se evidencia un deterioro de las propiedades hidrofísicas del suelo, lo que podría causar la capacidad de retención de agua. La tasa de infiltración promedio en los niveles 1 al 5 es 36 veces más rápida que la del suelo mejor conservado (nivel 6), de tal manera que se reduce drásticamente la escorrentía (de 0,002 a 0,012), por lo que la erosión hídrica laminar no representa un factor determinante en los procesos de pérdida de suelo en este periodo específico. La precipitación no es suficiente para superar la capacidad de infiltración del suelo. Las pérdidas de suelo tienen relación directa con la presencia de vegetación (densidad o porcentaje de ocupación), por tanto, a mayor estado de degradación mayor pérdida de suelo. La ausencia de materia orgánica y la textura arenosa son condiciones que permiten el "lavado" de los compuestos químicos limitando el establecimiento de las plántulas y su desarrollo. Los suelos de este arenal han perdido las características típicas de suelos de páramo, con baja capacidad de retención de humedad, alta capacidad de infiltración, bajos coeficientes de escorrentía y pérdida de suelo. La erosión hídrica laminar no es la principal causante de pérdida de suelo.</x:t>
  </x:si>
  <x:si>
    <x:t xml:space="preserve">Hacer estudios de fenología de las plantas para controlar proceso erosivos. Considerar el viento en las estrategias de restauración. Tener en cuenta que el mayor aporte de sedimentos al cauce puede ser promovido desde las márgenes del río Jatunhuaycu, en la parte baja del arenal. Tener réplicas de las parcelas de escorrentía-erosión para respaldar los tratamientos.</x:t>
  </x:si>
  <x:si>
    <x:t xml:space="preserve">Capacidad de regulación hídrica bajo diferentes niveles de degradación del suelo</x:t>
  </x:si>
  <x:si>
    <x:t xml:space="preserve">Jefferson Avellaneda
EPN, 2021</x:t>
  </x:si>
  <x:si>
    <x:t xml:space="preserve">Estimación del impacto de los incendios en las propiedades físico-químicas e hidrológicas del suelo de páramo mediante trabajo experimental.</x:t>
  </x:si>
  <x:si>
    <x:t xml:space="preserve">Atacazo</x:t>
  </x:si>
  <x:si>
    <x:t xml:space="preserve">Estimar el efecto producido por la quema de pajonal sobre las propiedades físico-químicas e hidrológicas en los primeros 30 cm de profundidad del suelo mediante un trabajo experimental. </x:t>
  </x:si>
  <x:si>
    <x:t xml:space="preserve">Bloques de suelo (60cm x 60cm x 30cm) extraídos de una microcuenca del páramo del Cerro Atacazo</x:t>
  </x:si>
  <x:si>
    <x:t xml:space="preserve">El trabajo consiste en extraer muestras representativas de vegetación y de suelo, las cuales fueron quemadas con el fin de monitorear el comportamiento antes, durante y después del evento de quema. El procedimiento metodológico incluye lo siguiente: 1) Trabajo de campo: criterios para la selección de los puntos de muestreo (zona de incendio 1264,43 ha en el Cerro Atacazo, y zonas sin perturbaciones), construcción de estructuras para el muestreo de suelo (bloques de suelo de 60cm x 60cm x 30 cm), construcción del sistema para la simulación de lluvia, extracción de muestras y calibración de los reflectómetros CS650 (septiembre 2019 a marzo 2020); 2) Trabajo de laboratorio: quema de la muestra (recrear un incendio para ver los efectos sobre las características del suelo), determinación de las propiedades físicas (curvas de retención de agua, densidad aparente, conductividad hidráulica saturada), determinación de las propiedades químicas (contenido de materia orgánica, potencial hidrógeno, fósforo total); 3) Balance hídrico de la muestra para ver el comportamiento hidrológico antes y después de la quema de vegetación; 4) Comparación de resultados (parámetros físico-químicos del suelo quemado y el suelo no quemado.  </x:t>
  </x:si>
  <x:si>
    <x:t xml:space="preserve">Como consecuencia de la quema de la muestra, la combustión de la vegetación y la incorporación de ceniza en el suelo, parámetros como la conductividad hidráulica presentaron una reducción del 77%. El balance hídrico también presentó variaciones, para la muestra quemada los porcentajes de escorrentía superficial aumentaron en un 73,2% y una reducción en la percolación de agua en el suelo en un 7,5%. La densidad aparente en el suelo se redujo en 25,82% a los 5cm y 7.58% a los 10 cm. Por tanto, el suelo se vuelve más suceptible a modificarse. Se registró un aumento de contenido de materia orgánica de 3% y 8% a los 5cm y 10 cm respectivamente. La quema de cobertura vegetal no tiene impacto inmediato en las propiedades físicas e hidrológicas del suelo de páramo, a excepción de parámetros químicos como el pH y nutrientes en el suelo (cambio en la conductividad eléctrica del suelo). El impacto de los incendios, en mayor proporción es indirecto y se manifiesta por la eliminación de la cobertura vegetal y la exposición del suelo a la fuerza erosiva de factores ambientales y climáticos.</x:t>
  </x:si>
  <x:si>
    <x:t xml:space="preserve">Es importante motivar y profundizar trabajos de investigación que analicen efectos adicionales o complementarios del impacto de los incendios en las propiedades del suelo del páramo considerando su importancia para la estabilidad del ecosistema paramuno y su importancia socio cultural directa e indirecta para la sociedad en general.</x:t>
  </x:si>
  <x:si>
    <x:t xml:space="preserve">Propiedades físico-químicas e hidrológicas del suelo</x:t>
  </x:si>
  <x:si>
    <x:t xml:space="preserve">Ellos no fueron becarios, pero se decidió otrogar el financiamiento ya que la tutora presentó el proyecto. El monto fue el que solicitó la profesora pero se ejecutó menos con distintos procesos administrativos del FONAG</x:t>
  </x:si>
  <x:si>
    <x:t xml:space="preserve">Michelle Quintana
EPN, 2021</x:t>
  </x:si>
  <x:si>
    <x:r>
      <x:t xml:space="preserve">Impacto de los incendios en las propiedades hidrofisicas y químicas del suelo, Volcán </x:t>
    </x:r>
    <x:r>
      <x:rPr>
        <x:i/>
        <x:sz val="11"/>
        <x:rFont val="Calibri"/>
        <x:family val="2"/>
        <x:scheme val="minor"/>
      </x:rPr>
      <x:t xml:space="preserve">Atacazo</x:t>
    </x:r>
    <x:r>
      <x:rPr>
        <x:sz val="11"/>
        <x:rFont val="Calibri"/>
        <x:family val="2"/>
        <x:scheme val="minor"/>
      </x:rPr>
      <x:t xml:space="preserve">.</x:t>
    </x:r>
  </x:si>
  <x:si>
    <x:t xml:space="preserve">Realizar un análisis comparativo del impacto de los incendios en las propiedades hidrofísicas y químicas del suelo bajo dos tipos de cobertura vegetal pajonal y almohadilla a nivel de perfil del suelo. </x:t>
  </x:si>
  <x:si>
    <x:t xml:space="preserve">Dos microcuencas (quemada y no quemada) dentro de la elevación volcánica del Atacazo, donde se produjo un incendio el 29 de septiembre de 2018</x:t>
  </x:si>
  <x:si>
    <x:t xml:space="preserve">El plan de muestreo se implementó 1 año después del incendio. Cada sitio de muestreo se seleccionó con una pendiente de 14°- 15°. El muestreo se realizó en dos coberturas vegetales (pajonal y almohadilla), a dos profundidades (0 – 5 y 5 –10 cm) y con un rango altitudinal (alto, medio y bajo). Se calculó la densidad aparente (DA), materia orgánica (%MO), potencial de hidrógeno (pH), nitrógeno 
orgánico (N), fósforo total (P), conductividad hidráulica saturada (Ksat), porosidad (%PO), humedad (%H), y las curvas de retención del agua (WRC). Para el análisis estadístico entre dos variables se utilizó el Mann-Withney-Wilcox test y para la comparación entre más de dos variables el Two-Way ANOVA 
considerando un p-value ˂ 0.05. En las correlaciones se utilizó el método de Pearson, por su distribución normal (determinada con el test Shapiro Wilks), con un R &gt; 0.7. </x:t>
  </x:si>
  <x:si>
    <x:t xml:space="preserve">El pH es la propiedad más susceptible al cambio por la quema bajo los dos tipos de cobertura vegetal (pajonal y almohadilla), hasta los 10 cm de profundidad y en los tres nivels altitudinales donde se acidificó el suelo. Se evidención una diferencia significativa del N bajo pajonal donde aumenta su valor en la parte quemada. Diferencias significativas en el %MO y P luego de la quema en la parte alta, aumentando su valor. También hay una diferencia significativa en la parte media para la DA, que aumenta su valor promedio en la microcuenca quemada. Se observó la disminución en el punto de saturación (PS) en las curvas de retención de agua WRC de la parte alta (PS de Q = 0.6; PS de NQ =0.7) y media (PS de Q = 0.7; PS de NQ = 0.75) indican que podría haber una disminución en la cantidad de agua que se almacena en el páramo. En consecuencia, puede ser probable un aumento en la escorrentía superficial alterando la regulación hídrica y arrastrando sedimentos y nutrientes que podrían afectar la calidad de agua de los ríos.</x:t>
  </x:si>
  <x:si>
    <x:t xml:space="preserve">Completar el estudio con un análisis de exportación de nutrientes, ceniza y en general sedimentos que son arrastrados por la escorrentía, para determinar el grado de afectación y planificar acciones inmediates que mitiguen los riesgos. Se recomienda un monitoreo continuo de propiedades físico-químicas como calidad del agua (cuantificando la ceniza en los cauces), en las vertientes cercanas a los incendios, con una periodicidad anual. Cuantificar la capacidad de recuperación del suelo o el grado de resiliencia del ecosistema ante estos eventos de perturbación.</x:t>
  </x:si>
  <x:si>
    <x:t xml:space="preserve">Valeria Cadena y Lizeth Yánez
EPN, 2019</x:t>
  </x:si>
  <x:si>
    <x:t xml:space="preserve">Estimación del Impacto de la actividad del enduro en las propiedades hidrofisicas  del suelo en el páramo de la cuenca alta del río Cinto</x:t>
  </x:si>
  <x:si>
    <x:t xml:space="preserve">Analizar el grado de afectación de la práctica del enduro en la cuenca alta del río Cinto, mediante la comparación de las propiedades hidrofísicas de un suelo intervenido y no intervenido determinando las implicaciones hidrológicas sobre el mismo.</x:t>
  </x:si>
  <x:si>
    <x:t xml:space="preserve">Territorio definido dentro de la unidad hidrográfica del río Cinto (1100 ha). El área de la ruta por la cual pasan las motos de enduro es de aproximadamente 467 ha. Sitio 1 Palmas, Sitio 2 Loma Gorda, Sitio 3 Cochas, Sitio 4 Pista 8</x:t>
  </x:si>
  <x:si>
    <x:t xml:space="preserve">Se levantó una línea base social en la zona para establecer la situación inicial de los sitios en los que se realizó la investigación. Se seleccionaron cuatro sitios de muestreo en los que se realizaron análisis in situ y en laboratorio para determinar la conductividad hidráulica saturada, densidad aparente, contenido de humedad, porosidad y materia orgánica. El tratamiento estadístico de datos se basó en la prueba unidireccional ANOVA. En resumen la metodología incluye los siguientes pasos: 1) Trabajo de campo: identificación de la zona de estudio, nivel de daño de observación, levantamiento de información en la comunidad, criterios para la selección de transectos lineales, establecimiento de transectos lineales permanentes; 2) Mediciones in situ de la conductividad hidráulica saturada; 3) Ejecución de la campaña de muestreo del suelo; 4) Análisis de laboratorio; y 5) Tratamiento estadístico de datos.</x:t>
  </x:si>
  <x:si>
    <x:t xml:space="preserve">La práctica del enduro sobre el páramo tiene una incidencia negativa en las propiedades hidrofísicas del suelo. Los resultados del análisis de la capa edáfica superficial del escenario intervenido indican una disminución de la conductividad hidráulica saturada en un 66,1%, el contenido de humedad en un 27,34%, la materia orgánica en un 8,8% y la porosidad en un 6,5%. Por otro lado, la densidad aparente registró un aumento de 12,9%. Esto demuestra que las propiedades originales del suelo fueron alteradas, provocando una perturbación en los procesos de regulación hídrica. Factores como la topografía y la regeneración vegetativa de la zona pueden contribuir para que un escenario intervenido presente valores de materia orgánica similares o más altos en comparación con el suelo no intervenido. De la línea base social se evidenció que los habitantes del barrio San Francisco de Cruz Loma expresan su preocupación por la práctica de enduro en el páramo. </x:t>
  </x:si>
  <x:si>
    <x:t xml:space="preserve">Para asegurar la conservación de los páramos, la práctica de enduro debe realizarse en otro lugar y dejar esta área natural sin perturbaciones. Implementar un intenso plan de conservación. El trabajo conjunto con la comunidad es fundamental para la gestión de este páramo. Se sugiere hacer un modelo del comportamiento hidrológico en cada escenario y un estudio microbiológico y de macroinvertebrados sobre el efecto de la práctica del enduro en el páramo.</x:t>
  </x:si>
  <x:si>
    <x:t xml:space="preserve">Propiedades hidrofísicas del suelo</x:t>
  </x:si>
  <x:si>
    <x:t xml:space="preserve">No fueron becarias si no que presentaron su proyecto, la asignacion de fondos se hizo a través de fondos liquidables</x:t>
  </x:si>
  <x:si>
    <x:t xml:space="preserve">Alejandro Palma, EPN, 2020</x:t>
  </x:si>
  <x:si>
    <x:t xml:space="preserve">Evaluación del estado del humedal Pugllohuma, perteneciente al área de conservación hídrica Antisana (ACHA), mediante el análisis de índices espectrales de imágenes capturadas desde una aeronave no tripulada (UAV)</x:t>
  </x:si>
  <x:si>
    <x:t xml:space="preserve">Evaluar el estado del humedal Pugllohuma mediante el análisis de índices espectrales de imágenes capturadas desde una aeronave no tripulada (UAV). Evaluar variables topográficas, coberturas obtenidas del análisis de índices espectrales de vegetación y agua, comparar mapas temáticos de índices espectrales versus datos obtenidos en campo. Adaptar la metodología de monitoreo desarrollada en el proyecto CEPRA-XII-2018-12 para la implementación de imágenes multiespectrales.</x:t>
  </x:si>
  <x:si>
    <x:t xml:space="preserve">El presente estudio propone una metodología de monitoreo por medio de imágenes multiespectrales tomadas desde un dron de ala fija para la evaluación del estado de los humedales altoandinos. En este sentido, el humedal Pugllohuma, perteneciente al ACHA, fue seleccionado como zona piloto para el desarrollo del proyecto. La metodología se basa en el análisis de índices espectrales de vegetación y agua en conjunto con mapas topográficos y datos en campo. Los resultados obtenidos de los índices de vegetación (NDVI, GCI, NDRE y GNDVI) se evalúan por tipo de vegetación y en tres transectos de vegetación. En resumen la metodología incluye los siguientes pasos: 1) Preparación de materiales y equipos; 2) Estudio de variables climáticas; 3) Misión de vuelo en el software "Mission Planner"; 4) Medición del nivel freático; 5) Calibración de equipos previo al vuelo; 6) Toma de imágenes; 7) Procesamiento de imágenes en software PIX4D; 8) Cálculo de índices espectrales.</x:t>
  </x:si>
  <x:si>
    <x:t xml:space="preserve">Los terrenos periféricos del humedal alimentan la parte central y baja del humedal, dirigiendo el agua hacia los sistemas de drenaje. Los índices NDVI y GCI definen con mayor exactitud las zonas de transición del humedal y el estado de la vegetación, estableciendo una superficie con alta densidad vegetativa de 130 005 m2 y un área con alto contenido de clorofila de 62 340 m2 . Por otra parte, con respecto a los cuerpos de agua y humedad de la vegetación se evaluaron a partir de tres índices espectrales establecidos en el presente proyecto y el índice de agua NDWI; obteniendo una área de aguas superficiales de 3 226 m2. Además, se estableció una zona de saturación de agua en el humedal del 18.31% a partir del nivel freático, mapas topográficos e índices espectrales de agua. </x:t>
  </x:si>
  <x:si>
    <x:t xml:space="preserve">Generar un estudio multitemporal para evaluar el comportamiento espectral de las diferentes coberturas de la zona de estudio y analizar el estado del humedal en diferentes estacionalidades. Analizar transectos de vegetación en diferentes periodos del año y compararlos con los parámetros obtenidos a nivel de especie y la fisiología propia de las plantas de páramo. Realizar transectos transversales dentro del humedal el día de toma de imágenes para validar los resultados de los índices con datos de campo.</x:t>
  </x:si>
  <x:si>
    <x:t xml:space="preserve">Índices espectrales de vegetación y agua en humedal</x:t>
  </x:si>
  <x:si>
    <x:t xml:space="preserve">Permisos de ingreso, y datos del humedal Pugllohuma</x:t>
  </x:si>
  <x:si>
    <x:t xml:space="preserve">Proyecto financiado por la EPN, através de Esteban Valencia</x:t>
  </x:si>
  <x:si>
    <x:t xml:space="preserve">Juan Jose Herrera, UTE, 2019</x:t>
  </x:si>
  <x:si>
    <x:t xml:space="preserve">Micropropagación in vitro de astragalus geminiflorus, una especie adaptada a zonas con degradación de suelo y endémica del Ecuador</x:t>
  </x:si>
  <x:si>
    <x:t xml:space="preserve">Diseñar un protocolo de micropropagación in vitro de Astragalus geminiflorus, una especie adaptada a zonas con degradación de suelo y endémica del Ecuador. Tratamientos de desinfección para explantes y semillas que garanticen una menor contaminación y mayor viabilidad de tejidos, determinar la mejor fuente de material vegetal inicial (explantes en campo o germinación de semillas in vitro), determinar la concentración adecuada de un regulador de crecimiento para un óptimo enraizamiento de las plántulas.</x:t>
  </x:si>
  <x:si>
    <x:t xml:space="preserve">Arenal 2 ubicado en el ACHA</x:t>
  </x:si>
  <x:si>
    <x:t xml:space="preserve">La metodología incluye las siguientes etapas: 1) Etapa 0 Pre-cultivo: recolección de plantas madre y semillas; 2) Etapa 1 Desinfección superficial e inoculación de explantes y semillas en el medio de cultivo: elaboración del medio de cultivo, esterilización de materiales, desinfección superficial de explantes, siembra de explantes, evaluación de desinfección superficial de explantes, desinfección superficial de semillas, siembra de semillas, evaluación de desinfección superficial y germinación de semillas; 3) Etapa 2 Multiplicación del material vegetal: Fase 1 Ensayo con citoquininas, Fase 2 Ensayo con combinación citoquinina/auxina; 3) Etapa 3 Enraizamiento. En reumen, se compara el número de plántulas viables producto de la desinfección superficial de explantes obtenidos en campo con aquellos resultantes de la germinación in vitro de semillas.</x:t>
  </x:si>
  <x:si>
    <x:t xml:space="preserve">Realizar una incisión en la testa de las semillas previo a ser plantadas incrementa su porcentaje de germinación de 10% a 100%. Explantes con yemas axilares y apicales fueron extirpados y subcultivados en diferentes concentraciones de kinetina y 6-benzylaminopurina (BAP) por sí solos y en combinación con ácido indol-3-acético (IAA). El mayor porcentaje de aparecimiento de brotes y mayor número de brotes nuevos en un lapso de 30 días se consiguió al suplementar el medio de cultivo base con 2.5 mg/L de BAP. Para estimular la formación de raíces los explantes se trasplantaron a un medio de cultivo base suplementado con diferentes concentraciones de ácido indol-3-butírico (IBA); se obtuvieron resultados positivos en 30 días al utilizar una concentración de 1.0 mg/L de IBA. Adicionalmente se observó crecimiento en longitud y aumento en el número de brotes de los explantes durante el periodo de enraizamiento. La germinación in vitro de semillas fue la mejor fuente de material vegetal para el proceso de micropropagación de Astragalus geminiflorus.</x:t>
  </x:si>
  <x:si>
    <x:t xml:space="preserve">Transplantar plántulas enraizadas a sustratos esterilizados para disminuir el impacto que sufrirá la planta al trasladarse a un ambiente ex vitro. Trasladar plántulas a un vivero con características físicas encontradas en el Arenal 2. Realizar ensayos con otros reguladores de crecimiento e identificar posibles concentraciones y combinaciones que pudieran producir resultados mejores a los alcanzados en el presente estudio.</x:t>
  </x:si>
  <x:si>
    <x:t xml:space="preserve">Flora: restauración ecológica</x:t>
  </x:si>
  <x:si>
    <x:t xml:space="preserve">Restauración de la Cobertura Vegetal</x:t>
  </x:si>
  <x:si>
    <x:t xml:space="preserve">El aporte de la UTE fue el uso de los laboratorios por el tiempo que se desarrolló la tesis. La ECAP cubrió únicamente los insumos de laboratorio</x:t>
  </x:si>
  <x:si>
    <x:t xml:space="preserve">Claudia Prenh, Delft University of Technology, 2019</x:t>
  </x:si>
  <x:si>
    <x:t xml:space="preserve">Gobernanza de la cuenca del Guayllabamba</x:t>
  </x:si>
  <x:si>
    <x:t xml:space="preserve">Delft University of Technology</x:t>
  </x:si>
  <x:si>
    <x:t xml:space="preserve">DMQ</x:t>
  </x:si>
  <x:si>
    <x:t xml:space="preserve">La presente investigación tiene como objetivo comprender las relaciones y la comunicación entre los responsables de las políticas, las ONGs y los usuarios del agua, y cómo se han modificado estas relaciones en los últimos cambios. Se propone un estudio de caso de la cuenca de Guayllabamba para limitar el alcance de la investigación y permitir un estudio en profundidad de estas relaciones (instituciones formales, marco legal, preocupaciones, problemas según cada actor). Además, este proyecto tiene como objetivo proponer alternativas para mejorar las relaciones entre estos actores fundamentales.
</x:t>
  </x:si>
  <x:si>
    <x:t xml:space="preserve">Cuenca del Guyallabamba</x:t>
  </x:si>
  <x:si>
    <x:t xml:space="preserve">Se optó por un enfoque metodológico mixto, con prioridad cualitativa y métodos cuantitativos como complemento para evaluar la gestión participativa en la cuenca de Guayllabamba. Sin embargo, luego de algunas entrevistas y observaciones, se cambió el enfoque de la investigación y se centró en comprender cómo funciona la comunicación y la cooperación entre los actores elegidos (formuladores de políticas, ONSs, usuarios del agua) como punto de partido para luego sugerir cómo se puede implementar mejor la gestión participativa. No obstante, se encontró que no existían canales de comunicación oficiales, ni claros, y la cooperación entre las partes interesadas es muy puntual, se cambió el objetivo y se centró en evaluar cómo mejorar o establecer la comunicación y la cooperación entre ellas. La metodología incluye: 1) Recolección de datos: análisis de documentos (legislación, reportes, publicaciones), entrevistas y encuestas, observación directa; 2) Análisis de los datos  con la ayuda del software ATLAS.ti (version 7.5.10)</x:t>
  </x:si>
  <x:si>
    <x:t xml:space="preserve">Es importante señalar que el número de entrevistados fue limitado y, aunque fueron elegidos por su representatividad, los resultados obtenidos pueden no representar a todos los actores de su grupo. Las percepciones generales se reflejan en los resultados presentados en este documento, pero cuando se les pregunta si el Estado toma en cuenta sus opiniones la respuesta fue más negativa. Este resultado corrobora la idea de que las personas tienden a confiar más en instituciones con las que tienen más contacto. Además, las palabras “Estado” y “gobierno” tienden a evocar más críticas y menos confianza que las instituciones gubernamentales específicas (Senagua, GAD específicos, etc.). Aunque la investigación consistió en un estudio de caso, se espera que los hallazgos presentados sean válidos en otras cuencas ecuatorianas ya que los principales temas y conclusiones (como el tema de la continuidad de las instituciones, la falta de confianza y la idea de que la participación es sólo un requisito que debe cumplirse) puede extrapolarse a una realidad nacional. Las percepciones de cada grupo fueron variadas y dependieron en gran medida de las experiencias personales de los representantes de cada grupo. Aunque la confianza en las instituciones públicas parece tambalearse, la mayoría de ellas parece tener esperanzas de que la participación pudiera volver a importar si las personas adecuadas lideraban las instituciones estratégicas.</x:t>
  </x:si>
  <x:si>
    <x:t xml:space="preserve">Es necesario replicar este estudio en otras cuencas del país para poder sacar conclusiones a nivel nacional. También sería interesante comparar esta investigación con cuencas de otros países con realidades similares, como Bolivia, para poder extraer resultados comunes y llegar a conclusiones más amplias.</x:t>
  </x:si>
  <x:si>
    <x:t xml:space="preserve">Gobernanza</x:t>
  </x:si>
  <x:si>
    <x:t xml:space="preserve">Contraparte técnica para evidenciar los desafios de gobernanza de agua que existian desde la perspectiva de FONAG y EPMAPS</x:t>
  </x:si>
  <x:si>
    <x:t xml:space="preserve">Se hizo como parte de una tesis de maestría en Delf, la tesis fue financiada por la SENECYT</x:t>
  </x:si>
  <x:si>
    <x:t xml:space="preserve">Andrea Cañada ESPE, 2022</x:t>
  </x:si>
  <x:si>
    <x:t xml:space="preserve">“Establecimiento in vitro de Draba obovata Benth. a partir de semillas recolectadas en el Parque Nacional Antisana”</x:t>
  </x:si>
  <x:si>
    <x:t xml:space="preserve">FONAG-AC-009-2019</x:t>
  </x:si>
  <x:si>
    <x:t xml:space="preserve">Establecer in vitro Draba obovata Benth con miras a procesos de restauración ecológica en el ACH Antisana. Estandarizar el protocolo de desinfección óptimo para las semillas, establecer el medio de cultivo para la germinación in vitro de las semillas, para la multiplicación in vitro de los brotes y para el enraizamiento in vitro de los explantes de Draba obovata Benth.</x:t>
  </x:si>
  <x:si>
    <x:t xml:space="preserve">Semillas de la planta Draba obovata Benth recolectadas en el área denominada "Arenal 2" del ACH Antisana, y los análisis en el Laboratorio de Cultivo de Tejidos Vegetales de la Universidad de las Fuerzas Armadas-ESPE, campus Sangolquí</x:t>
  </x:si>
  <x:si>
    <x:t xml:space="preserve">La metodología incluye los siguientes pasos: 1) Fase de campo: obtención del material vegetal (semillas de la planta Draba obovata Benth), 2) Fase de laboratorio: etapa de desinfección del material vegetal, etapa de introducción de semillas, etapa de germinación de semillas, etapa de multiplicación y etapa de enraizamiento; 3) Análisis estadístico, en cada etapa se utilizaron seis tratamientos a excepción del enraizamiento (3 tratamientos): etapa de desinfección del material vegetal (% oxidación, % contaminación), etapa de germinación de semillas (% germinación), etapa de multiplicación (número de brotes, longitud del tallo), etapa de enraizamiento (% enraizamiento).</x:t>
  </x:si>
  <x:si>
    <x:t xml:space="preserve">Las técnicas de cultivo de tejidos vegetales son actractivas para la propagación de especies amenazadas (restauración ecológica), debido a las altas tasas de multiplicación que presentan y al reducido material de partida que se requiere. Los resultados muestran que el mejor tratamiento de desinfección para las semillas fue con una concentración de 2,5% de hipoclorito de sodio y un tiempo de inmersión de 10 minutos, con un porcentaje de contaminación y oxidación del 0%. El mejor tratamiento de germinación corresponde al medio MS ( Murashige y Skoog) al 100% suplementado con 30 g/L de sacarosa, con un porcentaje de germinación de 86,67%, y el mejor tratamiento para la multiplicación a partir de segmentos de tallo corresponde al medio MS suplementado con 3mg/L de BAP (Bencilaminopurina) y 1mg/L de AIA (Ácido Indol Acético), con un total de 3,13 brotes por explante. Finalmente, el mejor tratamiento para enraizamiento corresponde al medio MS suplementado con 0,5 mg/L de AIA con un porcentaje de explantes enraizados de 66,67%.</x:t>
  </x:si>
  <x:si>
    <x:t xml:space="preserve">Utilizar otros agentes desinfectantes como el hipoclorito de calcio que es ampliamente utilizado en ciertas especies de la familia Brassicaceae para el proceso de desinfección de semillas y otros tipos de explantes empleados en el cultivo in vitro. Para la etapa de multiplicación se recomienda la combinación de BAP con otras auxinas como ANA, para el enraizamiento se recomienda otrasauxinas, como ANA que en la familia Brassicaceae propociona porcentajes de explantes enraizados cercanos al 100%.</x:t>
  </x:si>
  <x:si>
    <x:t xml:space="preserve">Patiño, 2020</x:t>
  </x:si>
  <x:si>
    <x:t xml:space="preserve">Uso de laboratorios especializados, el monto solicitado fue 1500 sin embargo se ejecutó menos ya que esto se entregaba como fondos liquidables</x:t>
  </x:si>
  <x:si>
    <x:t xml:space="preserve">Karol Balseca,  ESPE, 2022</x:t>
  </x:si>
  <x:si>
    <x:t xml:space="preserve">“ESTABLECIMIENTO DE UN PROTOCOLO IN VITRO DE WERNERIA NUBIGENA KUNTH UBICADA EN LA RESERVA ECOLÓGICA ANTISANA”</x:t>
  </x:si>
  <x:si>
    <x:t xml:space="preserve">Establecer un protocolo in vitro de Werneria nubigena Kunth con miras a procesos de restauración ecológica en el ACH Antisana. Optimizar el protocolo de desinfección para semillas, estandarizar un protocolo para germinación de semillas y establecer un protocolo de multiplicación y enraizamiento a partir de explantes de Werneria nubigena Kunth.</x:t>
  </x:si>
  <x:si>
    <x:t xml:space="preserve">Semillas de la planta Werneria nubigena Kunth recolectadas en el área denominada "Arenal 2" del ACH Antisana, y los análisis en el Laboratorio de Cultivo de Tejidos Vegetales de la Universidad de las Fuerzas Armadas-ESPE, campus Sangolquí</x:t>
  </x:si>
  <x:si>
    <x:t xml:space="preserve">La metodología incluye los siguientes pasos: 1) Fase de campo: obtención del material vegetal (semillas de Werneria nubigena Kunth), 2) Fase de laboratorio: etapa de desinfección del material vegetal, etapa de introducción de semillas, etapa de germinación de semillas, etapa de multiplicación y etapa de enraizamiento; 3) Análisis estadístico: etapa de desinfección del material vegetal (6 tratamientos, se evaluó la contaminación y germinación), etapa de germinación de semillas (5 tratamientos, se evaluó la germinación y altura de las plantas), etapa de multiplicación (8 tratamientos, se evaluaó el número de brotes por explante y altura del explante (cm), porcentaje de presencia de callo, inducción de brotes), etapa de enraizamiento (3 tratamientos se evaluó el número de raíces, longitud de raíces, % oxidación).</x:t>
  </x:si>
  <x:si>
    <x:t xml:space="preserve">Los métodos in vitro para conservación de plantas son similares a los de micropropagación de cultivos hortícolas y agrícolas, con ciertas modificaciones. El principal material vegetativo para la conservación de plantas es la semilla ya que permite tener una base genética amplia. Para la etapa de desinfección se determinó que el uso de cloro al 6% durante 7,5 min (tratamiento 2) fue óptimo para la desinfección y germinación de semillas; en la etapa de germinación se estableció que la eliminación de la cubierta de la semilla aumentó el porcentaje de germinación, y el tratamiento 4 [MS+1/2 AG3] (AG3- Ácido Giberélico, MS-Murashige y Skoog) permitió obtener plantas altas y robustas. Durante la etapa de multiplicación, el tratamiento 4 indujo la formación de brotes en 50% de los explantes introducidos con la formación de 1,9 brotes por explante; adicionalmente. Se determinó, además, que el tratamiento 2 con concentración de AIA (Ácido Indol Acético) [1mg/L] permitió obtener 67% de brotes enraizados con una longitud promedio de 0,37cm, dados estos resultados se estableció este tratamiento como el mejor para la fase de enraizamiento.</x:t>
  </x:si>
  <x:si>
    <x:t xml:space="preserve">Efecto de los tratamientos a nivel citogenético para determinar la presencia de mutaciones en las plantas, ya que serán introducidas en área protegidas. Analizar el efecto de menores concentraciones de cloro en la desinfección. Determinar los principios activos que presenta la planta. Determinar el porcentaje de supervivencia de las plantas en la fase de aclimatación.</x:t>
  </x:si>
  <x:si>
    <x:t xml:space="preserve">Juan Gonzalez, YACHAY, 2021</x:t>
  </x:si>
  <x:si>
    <x:t xml:space="preserve">"A kernel-based strategy to design Convolutional Neural Network Architecture for learning spatial and temporal representation of weather variables"</x:t>
  </x:si>
  <x:si>
    <x:t xml:space="preserve">Noroccidente</x:t>
  </x:si>
  <x:si>
    <x:t xml:space="preserve">Presentar un enfoque basado en datos para abordar el tema de los eventos de precipitación extrema inesperados. Proporcionar un análisis exploratorio de los datos obtenidos de ECAP y aplicar técnicas de inteligencia artificial para anticipar eventos de precipitación extrema mediante algoritmos de clasificación y regresión. Pronosticar los datos de precipitación con una hora de anticipación.</x:t>
  </x:si>
  <x:si>
    <x:t xml:space="preserve">Datos de las estaciones de EPMAPS y FONAG - ECAP.  Específicamente, este estudio utiliza datos de las estaciones C02-Rumihurco y C04-Rumipamba, desde finales de 2017 hasta principios de 2021.</x:t>
  </x:si>
  <x:si>
    <x:t xml:space="preserve">El presente trabajo realiza un enfoque basado en datos para analizar, pronosticar y clasificar eventos de precipitación extrema a través del estudio de variables hidroclimáticas a lo largo del tiempo, tomando la información de dos estaciones climatológicas. Considerando que el análisis de series de tiempo relacionadas con eventos de precipitación implica patrones complejos, los datos de entrada requieren pasar por etapas de pre-procesamiento, preparación de datos y técnicas de análisis. En este sentido, se em plean métodos de selección de características e ingeniería de características para lograr un alto rendimiento en la etapa de clasificación y regresión de datos. Específicamente, análisis de correlación, análisis de componentes principales (PCA) y relief -F de regresión (RR) se consideran un análisis exploratorio de variables. Posteriormente, un clasificador basado en máquina de vectores de soporte (SVM) realiza una clasificación y una red neuronal convolucional (CNN) ajusta un algoritmo de regresión.</x:t>
  </x:si>
  <x:si>
    <x:t xml:space="preserve">Se han aprovechado los datos de EPMAPS y FONAG para disponer de un sistema de alerta de eventos de precipitaciones extremas. Desde este punto de vista, los datos se utilizan para crear avisos sobre tormentas que pueden generar inundaciones, deslizamientos de tierra y aluviones. Esas alertas contribuyen a la rápida toma de decisiones y la gestión planificada de los servicios de EPMAPS. El sistema se basa en el diseño de generación de tormentas, así como en técnicas estadísticas y numéricas que han servido de guía para modelar el clima.Los resultados destacan que el conjunto de datos reducido obtenido por RR no estandarizado discrimina mejor que el PCA , pero no tan bien como el conjunto de datos estandarizado con todas las variables. Se observa patrones comunes entre las dos estaciones en base al resultado del análisis de correlación. El algoritmo de regresión muestra la capacidad de la CNN combinada con algoritmos de aprendizaje profundo como long-short  term memory y convoluciones 1-D, 2-D para aprender la representación espacio-temporal de datos mediante filtros, proporcionando un pronóstico de eventos de precipitación extrema con resultados prometedores de pronóstico inmediato.</x:t>
  </x:si>
  <x:si>
    <x:t xml:space="preserve">Pronóstico de precipitaciones extremas</x:t>
  </x:si>
  <x:si>
    <x:t xml:space="preserve">Entrega de información utilizada en la tesis y acompañamiento de Diego Escobar de parte de EPMAPS</x:t>
  </x:si>
  <x:si>
    <x:t xml:space="preserve">Experiencia de director de tesis Diego Peluffo y Manuel Morocho en machine learning. Juan se integró al equipo de trabajo FONAG y EPMAPS</x:t>
  </x:si>
  <x:si>
    <x:t xml:space="preserve">Rommel Arboleda,  Albert-Ludwigs-Universität, 2019</x:t>
  </x:si>
  <x:si>
    <x:t xml:space="preserve">Lateral Transport of Carbon due to Soil Erosion by Rainfall Simulation in the Northern Páramos of Ecuador</x:t>
  </x:si>
  <x:si>
    <x:t xml:space="preserve">Albert-Ludwigs-Universität</x:t>
  </x:si>
  <x:si>
    <x:t xml:space="preserve">
El objetivo de este estudio es cuantificar la cantidad de materia orgánica que es transportada lateralmente por eventos de lluvia en seis tipos diferentes de uso de la tierra; páramo/pastizales de matas, tierras de cultivo de papa, tierras en barbecho, pastos para ganado, tierras afectadas por oleoductos y tierras afectadas por minas de suelo, en el área de conservación y zona de amortiguamiento de Paluguillo (Ecuador). Al cuantificar el transporte lateral de materia orgánica, se mejorará el conocimiento de los procesos de erosión del suelo y el transporte lateral de carbono en los páramos del norte de Ecuador.</x:t>
  </x:si>
  <x:si>
    <x:t xml:space="preserve">ACH Paluguillo, considerando seis zonas con categorías diferentes de uso de la tierra.</x:t>
  </x:si>
  <x:si>
    <x:t xml:space="preserve">El transporte lateral de carbono se evaluó cuantificando el contenido de materia orgánica (MO) y de carbono (C) de seis categorías diferentes de uso de la tierra (tierras de cultivo de papa, tierras en barbecho, pastos para ganado, suelos minados y tierras afectadas por oleoductos) en el Área de Conservación Paluguillo y una zona de amortiguamiento ubicada en los Páramos del Norte de Ecuador, entre febrero y abril de 2019. Se recolectaron un total de 12 muestras de suelo y 4 muestras de agua de escorrentía para cada categoría de uso de la tierra (en total 72 muestras de suelo y 24 muestras de agua de escorrentía). El diseño experimental consistió en parcelas experimentales adaptadas con un sistema de simulación de lluvia alimentado con agua, acoplado a una trampa de escurrimiento/sedimentos. Se realizó un estudio de vegetación para determinar la estructura de la vegetación. El análisis estadístico se realizó mediante la implementación de un modelo lineal de efectos mixtos para probar efectos fijos y aleatorios.</x:t>
  </x:si>
  <x:si>
    <x:t xml:space="preserve">El transporte lateral de carbono parece haberse visto favorecido durante eventos de precipitaciones de gran volumen y se ha intensificado en áreas con actividades de gestión de tierras insostenibles, como tierras afectadas por minas y tierras afectadas por oleoductos. Las posibles características que hicieron que estas categorías de uso de la tierra fueran más susceptibles a la tasa de pérdida de Carbono, incluyen valores más altos de contenido de agua en el suelo y un contenido más bajo de materia orgánica.  Tres de las seis prácticas de uso de la tierra produjeron tasas aceleradas de erosión del suelo, lo que significa que la expansión y/o intensificación de estas prácticas en los ecosistemas de páramo debe gestionarse y monitorearse cuidadosamente. Si bien esta investigación se centró principalmente en la dinámica del suelo, la expansión de tales prácticas de uso de la tierra puede tener impactos perjudiciales en otros servicios ecosistémicos clave. En particular, el aumento de la erosión del suelo puede provocar un aumento de la sedimentación y una reducción de la calidad del agua para las comunidades aguas abajo. La estructura de la vegetación de las áreas que han sido sometidas a actividades de gestión de la tierra insostenibles mostró una mayor presencia de especies de plantas categorizadas como "introducidas" o "cultivadas".
</x:t>
  </x:si>
  <x:si>
    <x:t xml:space="preserve">Los hallazgos de esta investigación sugieren prácticas de gestión del uso de la tierra más sostenibles, en particular aquellas que limiten la erosión del suelo y la degradación de la tierra causada por el ganado y la minería del suelo.  La aceleración de la erosión puede provocar una pérdida de servicios ecosistémicos vitales y contribuir a la sedimentación, la reducción de la disponibilidad y calidad del agua y la pérdida de productividad del suelo, entre otros impactos negativos.</x:t>
  </x:si>
  <x:si>
    <x:t xml:space="preserve">Erosión del suelo y transporte de materia orgánica</x:t>
  </x:si>
  <x:si>
    <x:t xml:space="preserve">A través de la Universidad se contrató a la emrpresa Senninger quien proveyó todo el equipamiento para realizar esta investigación</x:t>
  </x:si>
  <x:si>
    <x:t xml:space="preserve">Chaquira Romoleroux, UCE, 2019</x:t>
  </x:si>
  <x:si>
    <x:t xml:space="preserve">Cuantificación de carbono en el suelo del Bosque Siempreverde y el Herbazal del Páramo del Área de Conservación Hídrica Paluguillo (Pifo, Pichincha)</x:t>
  </x:si>
  <x:si>
    <x:t xml:space="preserve">Evaluar el porcentaje de carbono, la densidad aparente y la densidad de carbono en el suelo del bosque siempreverde del 
páramo, en donde están presentes dos bosques de Polylepis (P. pauta y P. incana) y el herbazal del páramo en el ACH Paluguillo, comparando la cantidad de carbono almacenado en estas 3 áreas. Como objetivos específicos se planteó analizar el cambio de estas 3 variables en función al tipo de formación vegetal y la profundidad, y generar información que sirva como base para la inserción de estas áreas en programas de pagos por servicios ambientales.
</x:t>
  </x:si>
  <x:si>
    <x:t xml:space="preserve">ACH Paluguillo (857,37 ha). Tres zonas: bosque Siempreverde del Páramo (bosque de Polylepis, 188 ha) y en el herbazal del páramo (639 ha). Cinco parcelas de 20x20 de cada ecosistema (herbazal, bosque de Polylepis de P. pauta, bosque de Polylepis incana)</x:t>
  </x:si>
  <x:si>
    <x:t xml:space="preserve">El estudio se basó en un diseño observaciona, descriptivo de tipo poblaciona, con un muestreo estratificado aleatorio. La toma de muestras se realizó en 5 parcelas de 10x20 m de cada ecosistema, con un total de 15 puntos. Se cuantificó el carbono del suelo del páramo, para levantar una línea base sobre la reserva de carbono en el ACH Paluguillo, utilizando el método de barreno. Para cuantificar el carbono presente se debe calcular su densidad (MgC/ha), densidad aparente de la muestra. Se realiza un análisis estadístico y se compara los valores obtenidos del porcentaje de carbono, densidad aparente y densidad de carbono (ANOVAS de dos factores entre los tres bosques y entre estos valores y la profundidad).</x:t>
  </x:si>
  <x:si>
    <x:t xml:space="preserve">Existen diferencias significativas en en el porcentaje de carbono, densidad aparente del suelo y densidad de carbono en los tres tipos de bosque, por tanto, la cobertura vegetal y las características físico-químicas del suelo afectan directamente a la cantidad de carbono almacenado. El mayor porcentaje de carbono se encontró en los primeros 20 cm de profundidad del suelo, debido a que el aporte de materia orgánica es mayor en esta zona por la influencia directa de la vegetación y raíces.  Los tres tipos de bosques estudiados reportan altas cantidades de carbono orgánico, convirtiéndose en grandes mitigadores del cambio climático, por lo que su conservación y mantenimiento de la dinámica ecosistémica es fundamental para lograr estrategias de solución frente a la problemática ambiental y asegurar las fuentes de agua que llegan la ciudad de Quito.</x:t>
  </x:si>
  <x:si>
    <x:t xml:space="preserve">Hacer estudios en biomasa aérea, necromasa y raíces, principalmente en bosques de Polylepis que tienen un mayor aporte de biomasa aérea. Desarrollar un ecucaión específica para cada tipo de bosque, para calcular el porcentaje de carbono. Realizar monitoreos de carbono en los páramos par futuros proyectos de conservación, sobretodo si se realizan actividades de reforestación y restauración de estos ecosistemas. Complementar la investigación con estudios socioeconómicos para determinar la posibilidad de insertar a estos ecosistemas en proyectos de pago por servicios ambientales.</x:t>
  </x:si>
  <x:si>
    <x:t xml:space="preserve">Uso de la tierra y contenido de carbono en el suelo</x:t>
  </x:si>
  <x:si>
    <x:t xml:space="preserve">Calderón et al. 2013</x:t>
  </x:si>
  <x:si>
    <x:t xml:space="preserve">Todo el muestreo y los análisis de laboratorio fueron realizadas por la estudiante</x:t>
  </x:si>
  <x:si>
    <x:t xml:space="preserve">Kimberly Gualpi  (PUCE), 2022</x:t>
  </x:si>
  <x:si>
    <x:t xml:space="preserve">Caracterización fenotípica de microalgas y cianobacterias del perifiton de los ríos aportantes del embalse Succus</x:t>
  </x:si>
  <x:si>
    <x:t xml:space="preserve">Caracterizar fenotípicamente microalgas y cianobacterias del perifiton de los ríos aportantes del embalse Succus para la determinación del estado trófico del ecosistema. Identificar taxonómicamente microalgas y cianobacterias, establecer una relación entre la diversidad de especies de microalgas y cianobacterias y el estado trófico del embalse.</x:t>
  </x:si>
  <x:si>
    <x:t xml:space="preserve">Ríos aportantes al Embalse Succus (tributarios 1 y 2),  la laguna central y el dique</x:t>
  </x:si>
  <x:si>
    <x:t xml:space="preserve">El estudio es de tipo descriptivo, se detallan ciertas características de grupos homogéneos de la comunidad fotosintética, su composición o comportamiento. El procedimiento metodológico incluye: 1) Muestreo: uno en febrero de 2021 (tributarios 1 y 2, 2 muestras de raspado de supercie de rocas y 2 de plantas cercanas), y otro en abril de 2021 (alrededores de las orilla de los tributarios 1 y 2, muestras de plantas, sedimentos y cepillado de rocas), las cuales se analizaron bajo un microscopio óptico invertido. Se registraron parámetros físico-químicos (pH, color, temperatura, conductividad, sólidos disueltos totales, oxígneo disuelto, saturación de oxígeno y alcalinidad). 2) Identificación de microalgas y cianobacterias del perifiton: visualización microscópica e identificación taxonómica, aislamiento y caracterización en medios de cultivo semisólidos, evaluación de la diversidad de microorganismos fotosintéticos en los diferentes puntos de muestreo y determinación de especies con potencial bioindicador del embalse Succus.</x:t>
  </x:si>
  <x:si>
    <x:t xml:space="preserve">Se obtuvieron tres cultivos monoalgales en medio BG11 sin nitrógeno, dos de cianobacterias (Anabaena y
Nostoc) y una microalga (Chlamydomonas). En total, se identificaron 39 taxones distribuidos en los filos Charophyta, Cyanobacteria, Bacillariophyta, Chlorophyta y Euglenozoa. El 53,85% de las especies contienen estructuras adaptativas clave para la matriz en la que se desarrollan. Además, el 51,3% de los taxones pueden considerarse como bioindicadores del estado del ecosistema. El embalse se encuentra en una transición entre la oligotrofía y la mesotrofía.</x:t>
  </x:si>
  <x:si>
    <x:t xml:space="preserve">Se recomienda un estudio sistemático de al menos 6 meses para detectar no solo la presencia/ausencia de taxones sino también su abundancia y/o cobertura para establecer relaciones entre su fluctuación en la composición y los parámetros ambientales y facilitar posibles medidas preventivas. Complementar la investigación con estudios moleculares para incrementar el número de taxones indentificados hasta nivel de especie. Monitorear de cerca los taxones que muestran tendencias a la mesotrofía o eutrofía que podría producir toximnas bajo determinadas circunstancias y/o floraciones.</x:t>
  </x:si>
  <x:si>
    <x:t xml:space="preserve">Calidad del agua embalse</x:t>
  </x:si>
  <x:si>
    <x:t xml:space="preserve">Tesis que se derivo del convenio con PUCE, ECAP tramitó el uso de laboratorios de EPMAPS </x:t>
  </x:si>
  <x:si>
    <x:t xml:space="preserve">Johanna Tipanta (PUCE), 2022</x:t>
  </x:si>
  <x:si>
    <x:t xml:space="preserve">Caracterización fenotípica de microalgas y cianobacterias del fitoplancton de los embalses Succus y Mogotes</x:t>
  </x:si>
  <x:si>
    <x:t xml:space="preserve">Caracterizar fenotípicamente las microalgas y cinaobacterias del fitoplancton presentes en las laguanas Succus y Mogotes en temporada seca, para establecer una línea base para el estudio de diversidad de microorganismos fotosintéticos para futuros estudios a mediano y largo plazo. Determinar el impacto de las especies en el estado trófico actual de cada embalse.</x:t>
  </x:si>
  <x:si>
    <x:t xml:space="preserve">Embalses Succus y Mogotes</x:t>
  </x:si>
  <x:si>
    <x:t xml:space="preserve">El procedimiento metodológico incluye un procesamiento de muestras a través de una fase de campo realizada en febrero y abril de 2021, mediante arrastre superficial y muestreo estratificado a profundidades de 0.5, 5, 10, 15, 20, 25, 30, 35 m  y fondo menos 1 m. Con una sonda multiparamétrica se registraron parámetros físico-químicos (turbidez, clorofila, temperatura, pH, conductividad y oxígeno disuelto a lo largo de la columna de agua). Se estimó la transparencia con un disco Secchi. La fase de laboratorio incluye el análisis cuantitativo para la identificación de los microorganismos, utilizando la técnica de Utermöhl. </x:t>
  </x:si>
  <x:si>
    <x:t xml:space="preserve">Se logró establecer una línea taxonómica base conformada por 30 taxones en Succus y 39 en Mogotes, 
mayormente constituidos por los filos Bacillariophyta, Charophyta y Chlorophyta, descritos en su mayoría a nivel de orden, familia y género. La mayor parte de los taxones se obtuvieron a partir del arrastre superificial y/o el muestreo a 0.5 m. Ambos embalses compartieron 16 especies y su diversidad fue comparable a la de otros ecosistemas altoandinos de Ecuador y la regiónLos resultados expuestos proporcionaron diferencias en la distribución de taxones entre los perfiles de profundidad e información valiosa sobre taxonomía, diversidad y conservación de microorganismos fitoplanctónicos de la región. Se destacan, principalmente, aquellos catalogados como bioindicadores, pues permiten deducir la tendencia de transición de los embalses de un estado oligotrófico a la mesotrofía. </x:t>
  </x:si>
  <x:si>
    <x:t xml:space="preserve">Se sugiere ampliar el monitoreo a los charcos adyacentes y tributarios y no solo centrarse en la laguna. Limitar la profunidad de los muestreos a la zona fótica donde la cantidad de microorganismos fitoplanctónicos es representativa. Ampliar el tiempo de muestreos, al menos seis meses consecutivos. </x:t>
  </x:si>
  <x:si>
    <x:t xml:space="preserve">Emilio Jarre (PUCE), 2022</x:t>
  </x:si>
  <x:si>
    <x:t xml:space="preserve">Caracterización fenotípica de microalgas y cianobacterias del perifiton de los ríos aportantes del embalse altoandino Mogotes (Parque Nacional Cayambe-Coca), Ecuador.</x:t>
  </x:si>
  <x:si>
    <x:t xml:space="preserve">Caracterizar fenotípicamente la diversidad morfológica de microalgas y cianobacterias del perifiton de un río aportante del embalse Mogotes. Identificar las microalgas y cianobacterias con potencial bioindicador de los ríos aportantes y sus consecuencias para el estado trófico del embalse Mogotes.</x:t>
  </x:si>
  <x:si>
    <x:t xml:space="preserve">Tributario al embalse Mogotes</x:t>
  </x:si>
  <x:si>
    <x:t xml:space="preserve">La metodología es de tipo descriptiva, con dos muestreos realizados en época seca en un río aportante más importante, uno en febrero y otro en abril de 2021, con el fin de identificar el mayor número de especies posible. Incluye una fase de campo en la que se obtuvieron muestras por duplicado de raspado de rocas, biopelículas de plantas semisumergidas y sedimentos. La mitad fue fijada en campo para la visualización microscópica directa y la otra fue utilizada para la siembra de biomasa en medio BG11 sin nitrógeno para el aislamiento y caracterización de cianobacterias. </x:t>
  </x:si>
  <x:si>
    <x:t xml:space="preserve">Se identificaron 31 géneros y 39 especies entre febrero y abril de 2021, los filos más diversos fueron Bacillariophyta, Charophyta y Chlorophyta, distribuidos diferencialmente entre sustratos.  Veinte taxones proporcionaron indicios sobre la calidad del ecosistema e incluyeron bioindicadores de diferentes estados tróficos simultáneamente. Mogotes presenta indicadores biológicos de diferentes estados tróficos a la vez, 20 de los cuales tienen potencial bioindicador. Sin embargo, la persistencia de  taxones intolerantes a contaminantes como nitratos, amonio o fósforo, demostraron que el sistema aún conserva atributos oligotróficos como aguas limpias y bien oxigenadas, de alta calidad potable, que se ven alteradas por efecto de las lluvias. </x:t>
  </x:si>
  <x:si>
    <x:t xml:space="preserve">Mantener los monitoreos de rocas, plantas acuáticas y sedimentos para evitar sesgos en la diversidad, simultáneamente con muestreos de fitoplancton. La toma de decisiones no solo debe basarse en la composición sino también en las fluctuaciones de la comunidad microbiana fotosintética, por tanto debe considerarse no solo la presencia/ausencia de taxones fotosintéticos determinados sino también su abundancia para evaluar el estado del agua en el embalse. No descuidar la eliminación continua de vegetación de la orilla de Mogotes para evitar posible efectos en la calidad del agua. Monitoreo periódico de comunidades de microalgas y cianobacterias perifíticas y fitoplanctónicas , simultáneamente, su composición, la abundancia relativa de sus taxones y posibles fluctuaciones a lo largo del año y entre años.</x:t>
  </x:si>
  <x:si>
    <x:t xml:space="preserve">Coralia Nuñez (PUCE), 2024</x:t>
  </x:si>
  <x:si>
    <x:t xml:space="preserve">Análisis in vitro del crecimiento de microalgas del fitoplancton en diferentes medios de cultivo y condiciones de incubación.</x:t>
  </x:si>
  <x:si>
    <x:t xml:space="preserve">Evaluar la diversidad y el crecimiento microalgal de fitoplancton de agua dulce en diferentes medios de cultivo y condiciones de incubación para examinar el efecto del medio y de las condiciones de incubación en el desarrollo de la mayor diversidad posible de microalgas.</x:t>
  </x:si>
  <x:si>
    <x:t xml:space="preserve">Análisis de muestras de fitoplancton de agua dulce en laboratorio. Procedencia desconocida (confidencialidad)</x:t>
  </x:si>
  <x:si>
    <x:t xml:space="preserve">El experimento presentado evalúa la susceptibilidad de los taxones presentes en la muestra fitoplanctónica al cultivo bajo condiciones ambientales controladas como forma de abordar el fenómeno de sucesión. Se utiliza agua dulce de 0.5 m de profundiad en medios de cultivo líquidos BBM y Nitrofoska bajo fotoperiodo 12:12 o 18:6, pH 5-6, 7-9 o 9-11 con o sin aireación. Se hace el recuento de taxones a lo largo de 24 días de un total de 1728 alícuotas de fitoplancton provenientes de 72 biorreactores. </x:t>
  </x:si>
  <x:si>
    <x:t xml:space="preserve">La superviciencia de los diferentes taxones a las condiciones de incubación fue diferencial. Se identificaron 11 taxones  donde predominaron Comasiella arcuata, Staurastrum chaetocera y Chlorococcum sp. por su plasticiad a las condiciones ambientales ensayadas. Los demás desaparecieron inmediantamente o tuvieron una presencia discreta. Los taxones Coelastrum sp. Y Trachelomonas volvocina fueron los más sensibles y se destacan como bioindicadores de ambientes eutróficos. El crecimiento poblacional fue variado en ambos medios de cultivo. En BBM se evidención una fase de adaptación corta para todos los taxones, pero dominaron los organismos fotosintéticos. El mejor medio de cultivo resultó BBM, el pH más idónes 7-9, el fotoperiodo más adecuado 18:6 y la presencia de aireación, fueron las condiciones que ayudaron al cultivo de la mayor parte de taxones fitoplanctónicos provenientes del medio natural.</x:t>
  </x:si>
  <x:si>
    <x:t xml:space="preserve">Evaluar no solo el efecto directo de los nutrientes, sino también el de la temperatura y la intensidad de luz, como proxi a lo que pudiera suceder con el cambio climático global.</x:t>
  </x:si>
  <x:si>
    <x:t xml:space="preserve">Tesis derivadas del convenio. ECAP compró insumos de laboratorio para que se desarrolle el experimento</x:t>
  </x:si>
  <x:si>
    <x:t xml:space="preserve">Ana Ortega (PUCE), 2024</x:t>
  </x:si>
  <x:si>
    <x:t xml:space="preserve">Análisis de diferentes medios y condiciones de cultivo en la composición del fitoplancton, con énfasis en cianobacterias</x:t>
  </x:si>
  <x:si>
    <x:t xml:space="preserve">Analizar el efecto de diferentes medios y condiciones de cultivo en la composición de microalgas fitoplanctónicas de agua dulce. Examinar el efecto d BG11 y BG11o, condiciones de fotoperiodo, pH y aireación con énfasis en cianobacterias. Determinar las condiciones de incubación que favorecen la mayor diversidad en laboratorio.</x:t>
  </x:si>
  <x:si>
    <x:t xml:space="preserve">Análisis de seis muestras de fitoplancton de agua dulce a 0.5 m de profundidad provistas para el análisis en laboratorio. Procedencia desconocidad (confidencialidad)</x:t>
  </x:si>
  <x:si>
    <x:t xml:space="preserve">El procedimiento metodológico incluye: 1) Preparación de medios de cultivo, del inóculo y establecimiento de los diferentes tratamientos a evaluar: se utilizan 6 muestras de 0.5 m de profundidad de un embalse (desconocida su procedencia), se probaron dos medios de cultivo, BG11 y BG110, en tres consistencias, líquida, sólida y semisólida, dos fotoperiodos (12:12 y 18:6), tres pH (6, 7 y 10) y, exclusivamente en los medios líquidos, se probó presencia y ausencia de aireación; 2) Identificación de taxones fitoplanctónicos por visualización directa; 3) Evaluación de la evolución en el tiempo de los taxones presentes en el cultivo en función de las condiciones ambientales simuladas (cada 5 días por el periodo de un mes).</x:t>
  </x:si>
  <x:si>
    <x:t xml:space="preserve">La diversidad microalgal estuvo distribuida en tres filos (Charophyta, Chlorophyta y uglenozoa), siete familias (Desmidiaceae, otryococcaeae, Closteriaceae, Scenedesmaceae, Oocystaceae, hlorococcaceae y Euglenaceae) y 11 géneros (Closterium, Cosmarium, Octacanthium, Staurastrum, Botryococcus, Chlorococcum, Oocystis, Coelastrum, Comasiella, Euglena y Trachelomonas), sin diferencia entre consistencias, pero con el pH ácido como condicionante clave para la salud del cuerpo de agua natural en el contexto de cambio climático. No se registró ningún taxon cianobacteriano en la muestra de procedencia, ni logró desarrollarse ninguno a partir de células de resistencia como los acinetos. Sin embargo, las condiciones de experimentación ensayadas permitieron cultivar todas las microalgas fitoplanctónicas de origen en medio BG11 sólido y semisólido.  Por ahora, los taxones presentes dan cuenta de aguas relativamente claras, de baja eutrofización y poco afectadas por actividades humanas. En cuanto a las mejores condiciones para favorecer el crecimiento algal in vitro, sobresalieron particularmente el medio BG11 en estado sólido, fotoperiodo 12:12 y pH alcalino. </x:t>
  </x:si>
  <x:si>
    <x:t xml:space="preserve">Se recomienda monitorear de cerca la abundancia de los diferentes taxones a lo largo del tiempo, no solo su presencia/ausencia, sino también su frecuencia de aparición y/o el número de organismos o colonias especie-específicos que se desarrollen.</x:t>
  </x:si>
  <x:si>
    <x:t xml:space="preserve">Sebastián Ramiro Proaño Ordóñez, Trabajo de Integración Curricular -EPN, 2024</x:t>
  </x:si>
  <x:si>
    <x:t xml:space="preserve">Calibración de varios sensores de humedad del suelo con validación de campo. Calibración sensor humedad de suelo "M5028"</x:t>
  </x:si>
  <x:si>
    <x:t xml:space="preserve">Determinar y validar la ecuación de la curva de calibración del sensor de humedad del suelo CS650 para el sitio "M5028" propiedad del FONAG. Utilizar la curva para generar series temporales de humedad del suelo.</x:t>
  </x:si>
  <x:si>
    <x:t xml:space="preserve">Estación meteorológica M5028, "Hcda Prado Miranda", propiedad del FONAG</x:t>
  </x:si>
  <x:si>
    <x:t xml:space="preserve">1) Trabajo de campo en la estación M5028: tomar muestras en campo y submuestras en laboratorio para encontrar la ecuación de calibración del refractómetro CS650, de forma que la toma de muestras esté acompañada de mediciones continuas de permitividad eléctrica. 2) Caracterización del suelo (pH, conductividad eléctrica, materia orgánica del suelo, carbono orgánico del suelo), porosidad, densidad volumétrica del suelo (densidad húmeda y densidad seca), gravedad específica del suelo, clasificación SUCS. 3) Determinación del contenido volumétrico de humedad del suelo en función de la permitividad eléctrica (generación de la curva y ecuación de calibración específica). 4) Series temporales con datos históricos del FONAG.</x:t>
  </x:si>
  <x:si>
    <x:t xml:space="preserve">La ecuación de calibración de la estación M5028 puede utilizarse para suplir a la ecuación de Topp en la determinación de VWC, ya que los resultados obtenidos muestran que la curva de calibración tiene un comportamiento concordante con los resultados de VWC en función de la permitividad eléctrica, que fueron definidos en laboratorio, y de igual manera la curva se aproxima a los puntos de validación en campo utilizados como comprobación. La ecuación de Topp subestima los valores de VWC. Las series temporales de la estación M5028 indican que el suelo gana rápidamente humedad con la presencia de precipitaciones, y de igual manera pierde contenido de humedad cuando existe falta de lluvias. La densidad aparente del suelo de la estación es mayor a la de otros suelos andinos de la zona, lo cual indica un mayor grado de compactación. La porosidad del suelo de la estación se asemeja a la porosidad de suelos andinos donde ha existido actividad antrópica enfocada a la ganadería.</x:t>
  </x:si>
  <x:si>
    <x:t xml:space="preserve">Repetir el procedimiento en suelos andinos donde estén ubicados reflectómetros que midan la conductividad eléctrica y no exista una ecuación específica de calibración. En lugares donde la cobertura vegetal del suelo sea de altura considerable, se recomienda definir la ecuación de calibración con datos de campo, recolectando muestras en época seca y húmeda, para evitar interferencias propias de la degradación de las plantas en el laboratorio.</x:t>
  </x:si>
  <x:si>
    <x:t xml:space="preserve">Calibración sensor humedad del suelo</x:t>
  </x:si>
  <x:si>
    <x:t xml:space="preserve">Luis Marcelo Vargas Domínguez, Trabajo de Integración Curricular -EPN, 2023</x:t>
  </x:si>
  <x:si>
    <x:t xml:space="preserve">EXPLORACIÓN DEL PRODUCTO SATELITAL DE PRECIPTACIÓN IMERG V06 COMO INSUMO PARA LA HIDROLOGÍA. Determinación de curvas intensidad-duración-frecuencia (IDF) sub-diaria y diaria</x:t>
  </x:si>
  <x:si>
    <x:t xml:space="preserve">Evaluar las curvas intensidad, duración y frecuencia (IDF) obtenidas de los datos de precipitación satelital IMERG V06, en base a observaciones de campo.</x:t>
  </x:si>
  <x:si>
    <x:t xml:space="preserve">Estaciones pluviométricas del INAMHI (distribuidas en las regiones Sierra, Costa y Oriente), estaciones de EPMAPS (dentro del DMQ)</x:t>
  </x:si>
  <x:si>
    <x:t xml:space="preserve">El procedimiento metodológico para generar las curvas IDF es el siguiente: 1) Recopilación de información (datos observados, productos satelitales), 2) Lectura de datos satelitales, 3) Agregar los datos a diferentes series de tiempo (30min, 1, 2, 6, 12 y 24 horas), 4) Validación IMERG (comprobación de validez con técnicas estadísticas para garantizar que los datos sean utilizables), 5) Obtención de series máximas anuales (observados y satelitales), 6) Construcción de las curvas IDF a través del ajuste a una función de distribución de probabilidad (CDF); 7) Test de bondad de ajuste; 8) Periodo de retorno (2 y 50 años, debido a que se utiliza una serie máxima anual de 20 años); 9) Gráfica de las curvas IDF observadas y satelitales.</x:t>
  </x:si>
  <x:si>
    <x:t xml:space="preserve">El desempeño del producto IMERG V06 con escala temporal 30 m, 0.1° de resolución espacial (2000-2021) es bastante variable y depende de las características fisiográfica y climatológicas de los lugares donde se ubican las estaciones. En general existen subestimaciones de las intensidades de lluvia para duraciones (30min, 1 y 2 horas), existe sobreestimación (2, 6, 12 y 24 horas). Los mejores resultados se obtienen para duraciones más largas, siendo muy similares a los valores observados. Los mejores resultados se obtienen para las estaciones de EPMAPS. Los mejores resultados en las curvas IDF es para la estación P32. Las funciones de distribución con mejores ajustes fueron Pearson III y Log Pearson III. El uso de IMERG V06 para una corrección se podría convertir en una alternativa importante para obtener las curvas IDF en regiones donde exista un registro poco satisfactorio de datos, o no existan datos.</x:t>
  </x:si>
  <x:si>
    <x:t xml:space="preserve">Realizar este estudio de base para realizar una corrección de sesgo para las curvas IDF IMERG V06  y las observadas.</x:t>
  </x:si>
  <x:si>
    <x:t xml:space="preserve">Curvas IDF: Precipitación máxima</x:t>
  </x:si>
  <x:si>
    <x:t xml:space="preserve">Se facilitó la base de datos</x:t>
  </x:si>
  <x:si>
    <x:t xml:space="preserve">Gabriela Alejandra Espinel Enríquez, EPN, 2019</x:t>
  </x:si>
  <x:si>
    <x:t xml:space="preserve">DESARROLLO DE UNA METODOLOGÍA PARA LA EVALUACIÓN DE SATURACIÓN DEL HUMEDAL PUGLLOHUMA MEDIANTE EL USO DE UAVS</x:t>
  </x:si>
  <x:si>
    <x:t xml:space="preserve">Estudiar la aplicabilidad de UAV (vehículo aéreo no tripulado de ala fija) como herramienta de monitoreo en la zona piloto del Humedal Pugllohuma. Obtener un perfil microtopográfico de la zona, validar una metodología comparando los resultados obtenidos con imágenes satelitales y mediciones in situ.</x:t>
  </x:si>
  <x:si>
    <x:t xml:space="preserve">Humedal Pugllohuma </x:t>
  </x:si>
  <x:si>
    <x:t xml:space="preserve">La metodología se desarrolla en tres etapas. ETAPA 1: Recopilación y síntesis de información relevante. ETAPA 2: Estudio preliminar y selección de la zona de estudio, visitas de campo, recopilación de información meteorológica y sobrevuelo, procesamiento de imágenes, generación de ortomosaicos, desarrollo de un mapa temático, validación de imágeners, comparación de imágenes UAV con satelitales. ETAPA 3: Análisis de resultados, tratamiento de datos (análisis de las imágenes RGB y multiespectrales, análisis de los ortomosaicos, comparación imágenes UAV con satelitales, comparación de las imágenes con parámetros ambientales de la zona), comparación de datos con información del dominio público (información de campo, imágenes satelitales). </x:t>
  </x:si>
  <x:si>
    <x:t xml:space="preserve">El monitoeo usando UAV de alas fijas proporciona la microtopografía en menor tiempo. El monitoreo con imágenes satelitales no es la mejor opción, ya que la mayoría de imágenes tienen una nubosidad por encima del 60%.  Los resultados obtenidos corroboran la hipótesis de que los vehículos aéreos no tripulados de ala fija proporcionan imágenes de alta resolución, con un total de 2.950 imágenes a una resolución de 6cm/pixel a diferencia de las imágenes satélitales de 10m/pixel, que son útiles para el monitoreo de zonas alto andinas, obteniendo un área total del humedal de 174.330 m2 , con un área saturada de 86.168,49 m2 y para la creación de mapas temáticos de la zona, como son el mapa de las zonas de inundación y el de turbidez. Así también se valida la metodología con datos adquiridos en campo, realizando un mapa esquemático superponiendo el mapa de inundación con el mapa piezométrico identificando que el 49,42% del humedal se encuentra saturado.</x:t>
  </x:si>
  <x:si>
    <x:t xml:space="preserve">Realizar un estudio completo del área con el uso de cámaras térmicas con más bandas para obtener diferentes índices relacionados con la vegetación, el suelo y la fauna.</x:t>
  </x:si>
  <x:si>
    <x:t xml:space="preserve">Microtopografía del humedal: zona de saturación</x:t>
  </x:si>
  <x:si>
    <x:t xml:space="preserve">Se concedió permisos de ingreso al ACH Antisana</x:t>
  </x:si>
  <x:si>
    <x:t xml:space="preserve">Proyecto financiado por la EPN a través de Esteban Valencia</x:t>
  </x:si>
  <x:si>
    <x:t xml:space="preserve">Esteban Valencia EPN, 2022</x:t>
  </x:si>
  <x:si>
    <x:t xml:space="preserve">Wetland monitoring technification for the Ecuadorian Andean region based on a multi-agent framework</x:t>
  </x:si>
  <x:si>
    <x:t xml:space="preserve">Monitorear de manera rentable los humedales altoandinos utilizando un enfoque de múltiples agentes basado en : pruebas de campo, ortomosaicos UAV e imágenes satelitales.</x:t>
  </x:si>
  <x:si>
    <x:t xml:space="preserve"> La aplicación del método y sus resultados resaltan la idoneidad de utilizar un enfoque de teledetección del espectro visual de bajo costo para calcular el porcentaje de saturación de los humedales. Además, la metodología propuesta permitió desarrollar un esquema de monitoreo temporal, utilizando tres agentes de monitoreo ( pruebas de campo, ortomosaicos UAV e imágenes satelitales), donde se examina la viabilidad de cada agente de monitoreo. Para validar el método se utilizaron datos de campo e imágenes multiespectrales tomando como caso de estudio el humedal Pugllohuma ubicado en la Reserva Antisana.</x:t>
  </x:si>
  <x:si>
    <x:t xml:space="preserve">El esquema de monitoreo propuesto implementa un algoritmo interno de procesamiento de imágenes basado en HSV para clasificar y segmentar imágenes visuales RGB con una resolución terrestre de 6 cm/píxel (superposición del 80% y superposición lateral del 70%), lo que reduce importantes costos operativos y ofrece una variedad de posibilidades para extrapolar el método a otros humedales altoandinos. Del proceso de validación se encontró que el método propuesto difiere en un 4% en la definición de áreas saturadas en comparación con mediciones multiespectrales  in situ, lo cual es muy prometedor y abre la posibilidad de su implementación para otros humedales similares. Se ha construido la plataforma web HUMEGIS para escalar esta iniciativa y permitir la colaboración abierta entre diferentes actores, para aumentar la base de datos de ortomosaicos procesados, ​​ofreciendo mapas SIG en capas para facilitar la gestión de los humedales.</x:t>
  </x:si>
  <x:si>
    <x:t xml:space="preserve">Establecer un marco de monitoreo tecnificado para los humedales altoandinos ecuatorianos, que pueda ser ampliado y extrapolado a otros humedales con condiciones ambientales adversas similares, ayudando en la toma de decisiones sobre políticas de manejo y protección.</x:t>
  </x:si>
  <x:si>
    <x:t xml:space="preserve">Monitoreo humedal con enfoques multiagentes: zona de saturación</x:t>
  </x:si>
  <x:si>
    <x:t xml:space="preserve">Lisbeth Cuenca</x:t>
  </x:si>
  <x:si>
    <x:t xml:space="preserve">Estudio de la diversidad genética de Polylepis racemosa Ruiz &amp; Pav. y Polylepis incana Kunth. mediante marcadores moleculares en Bosques Andinos del Ecuador</x:t>
  </x:si>
  <x:si>
    <x:t xml:space="preserve">Generar conocimiento científico sobre la diversidad genética, características fitoquímicas, parámetros germinativos y relaciones ecológicas de especies nativas de los Bosques Andinos y Páramos del Ecuador, con el fin de contribuir a su conservación, restauración ecológica y a la gestión sostenible de los ecosistemas que regulan los recursos hídricos del Distrito Metropolitano de Quito.</x:t>
  </x:si>
  <x:si>
    <x:t xml:space="preserve">Luis Cuichán</x:t>
  </x:si>
  <x:si>
    <x:t xml:space="preserve">Caracterización de principios activos del género Polylepis mediante técnicas analíticas en Bosques Andinos del Ecuador</x:t>
  </x:si>
  <x:si>
    <x:t xml:space="preserve">Heidy Haro</x:t>
  </x:si>
  <x:si>
    <x:t xml:space="preserve">Caracterización de parámetros morfológicos y germinativos de semillas de Solanum colombianum Dunal en Bosques Andinos del Ecuador</x:t>
  </x:si>
  <x:si>
    <x:t xml:space="preserve">Louisana Paillacho</x:t>
  </x:si>
  <x:si>
    <x:t xml:space="preserve">Caracterización de principios activos del género Hypochaeris mediante técnicas analíticas en Bosques Andinos del Ecuador</x:t>
  </x:si>
  <x:si>
    <x:t xml:space="preserve">Angie Pinzón</x:t>
  </x:si>
  <x:si>
    <x:t xml:space="preserve">Caracterización molecular de Polylepis racemosa Ruiz and Pav. y Polylepis incana Kunth. mediante marcadores moleculares en Bosques Andinos del Ecuador</x:t>
  </x:si>
  <x:si>
    <x:t xml:space="preserve">Sophia Polit</x:t>
  </x:si>
  <x:si>
    <x:t xml:space="preserve">Caracterización de parámetros morfológicos y germinativos de semillas de Calceolaria crenata Lam. en Bosques Andinos del Ecuador</x:t>
  </x:si>
  <x:si>
    <x:t xml:space="preserve">Karen Suntaxi</x:t>
  </x:si>
  <x:si>
    <x:t xml:space="preserve">Evaluación del impacto de los hongos micorrícicos arbusculares (AM) autóctonos y exógenos en el desarrollo de plantas de Polylepis incana Kunth</x:t>
  </x:si>
  <x:si>
    <x:t xml:space="preserve">Lenin Urrutia</x:t>
  </x:si>
  <x:si>
    <x:t xml:space="preserve">Evaluación de la Ocupación de Hábitat y Comportamiento del Oso Andino (Tremarctos ornatus) en el Refugio de Vida Silvestre APH Ponce Paluguillo, Pichincha – Ecuador entre los años 2022 y 2024</x:t>
  </x:si>
  <x:si>
    <x:t xml:space="preserve">ECAP-AT-2025-001</x:t>
  </x:si>
  <x:si>
    <x:t xml:space="preserve">Describir los comportamientos de individuos de Tremarctos ornatus registrados durante el periodo de monitoreo, diferenciados según su sexo. Posteriormente, calcular las tasas de visita y el tiempo de permanencia de individuos de Tremarctos ornatus en cada estación de muestreo. Finalmente, identificar las variables del entorno asociadas a la probabilidad de detección y ocupación de Tremarctos ornatus durante el periodo de monitoreo.</x:t>
  </x:si>
  <x:si>
    <x:t xml:space="preserve">La investigación sigue un diseño observacional ecológico longitudinal, enfocado en el seguimiento e identificación de individuos de Tremarctos ornatus mediante métodos no invasivos. Los datos correspondientes a los años 2022 y 2023 fueron procesados y proporcionados por la Fundación Cóndor Andino, la cual realiza monitoreos anuales de biodiversidad dentro del Refugio de Vida Silvestre APH Ponce Paluguillo. Los datos del año 2024 fueron tomados como parte de las prácticas preprofesionales con la FCA desarrolladas en el área de estudio. Para la obtención de la información, se instalaron 13 estaciones de fototrampeo en el área de estudio en lugares en los que se conocía o esperaba la presencia del oso. Estas estaciones se mantuvieron en el mismo sitio durante los tres años de monitoreo. En cada punto las cámaras fueron ubicadas de manera perpendicular a los caminos frecuentados por la fauna local, priorizando sitios con evidencia de actividad animal, como huellas, madrigueras y heces.</x:t>
  </x:si>
  <x:si>
    <x:t xml:space="preserve">Gabriela Nuñez</x:t>
  </x:si>
  <x:si>
    <x:t xml:space="preserve"> Análisis espacial del almacenamiento de carbono orgánico en las turberas del páramo andino del Parque Nacional Antisana, Ecuador</x:t>
  </x:si>
  <x:si>
    <x:t xml:space="preserve">Universidad Andina Simón Bolívar</x:t>
  </x:si>
  <x:si>
    <x:t xml:space="preserve">Maestría en Cambio Climático, Sustentabilidad y Desarrollo</x:t>
  </x:si>
  <x:si>
    <x:t xml:space="preserve">ECAP-AT-2025-002</x:t>
  </x:si>
  <x:si>
    <x:t xml:space="preserve">Roberto Tarabata 
Wilber Tobar</x:t>
  </x:si>
  <x:si>
    <x:t xml:space="preserve">EVALUACIÓN DE LA VARIABILIDAD ESPACIO TEMPORAL DEL ÍNDICE DE CALIDAD DEL AGUA (ISQA) DE LOS RÍOS ANTISANA Y JATUNHUAYCO UBICADOS EN EL PÁRAMO DEL ANTISANA PERTENECIENTES AL SISTEMA LA MICA-QUITO SUR EN EL 
AÑO 2025</x:t>
  </x:si>
  <x:si>
    <x:t xml:space="preserve">Universidad Central del Ecuador</x:t>
  </x:si>
  <x:si>
    <x:t xml:space="preserve">ECAP-AT-2025-003</x:t>
  </x:si>
  <x:si>
    <x:t xml:space="preserve">Alyssa Kilingsworth</x:t>
  </x:si>
  <x:si>
    <x:t xml:space="preserve">Sounds of Regeneration: Structural and Bioacoustic Characteristics of Paramo, Primary Forest, and Secondary Forest in the High Elevation Tropical Andes</x:t>
  </x:si>
  <x:si>
    <x:t xml:space="preserve">State University of New York</x:t>
  </x:si>
  <x:si>
    <x:t xml:space="preserve">Establecer diferencias entre un ecosistema primario y otro secundario mediante la estructura de la vegetación y mediante los sonidos en los andes tropicales altoandinos</x:t>
  </x:si>
  <x:si>
    <x:t xml:space="preserve">Permisos de ingreso ACH</x:t>
  </x:si>
  <x:si>
    <x:t xml:space="preserve">La tesista brindó un taller de monitoreo acústico pasivo a participantes del FONAG, INABIO, Fundación Cóndor Andino. </x:t>
  </x:si>
  <x:si>
    <x:t xml:space="preserve">Camila Muñoz
Ana Juma</x:t>
  </x:si>
  <x:si>
    <x:t xml:space="preserve">Modelación de la dinámica térmica y del oxígeno disuelto en el embalse de Páramo Salve Faccha mediante CE-QUAL-W2. </x:t>
  </x:si>
  <x:si>
    <x:t xml:space="preserve">ECAP-AT-2025-004</x:t>
  </x:si>
  <x:si>
    <x:t xml:space="preserve">Caracterizar el comportamiento de la temperatura y el oxígeno disuelto en el embalse de Páramo Salve Faccha, ubicado en la reserva Cayambe-Coca, parroquia de Oyacachi, provincia de Napo, mediante la implementación del modelo hidrodinámico y de calidad del agua “CE-QUAL- W2”, para proporcionar información técnica que contribuya a la gestión del embalse. </x:t>
  </x:si>
  <x:si>
    <x:t xml:space="preserve">La metodología combina enfoques cualitativos y cuantitativos mediante el uso del modelo bidimensional CE-QUAL-W2 para simular la dinámica térmica y del oxígeno disuelto en el embalse Salve Faccha. Inicialmente se recopilarán datos hidrológicos, meteorológicos y de calidad del agua hasta diciembre de 2024, incluyendo temperatura del aire, radiación solar, viento, caudales, niveles, batimetría, temperatura del agua y oxígeno disuelto a diferentes profundidades.
Los datos se organizarán en archivos .csv compatibles con el software. Luego, se configurará el modelo, ingresando condiciones iniciales y forzantes. La calibración y validación se realizarán con periodos representativos, ajustando parámetros como el coeficiente de refugio del viento, difusividad, absorción solar y otros. La comparación entre datos simulados y observados se evaluará mediante indicadores estadísticos como RMSE, MAE y R².
Finalmente, se analizarán los resultados mediante perfiles verticales y mapas de estratificación térmica y de oxígeno disuelto.</x:t>
  </x:si>
  <x:si>
    <x:t xml:space="preserve">Cristina Aguirre</x:t>
  </x:si>
  <x:si>
    <x:t xml:space="preserve">Análisis de la variabilidad espacio-temporal de la precipitación y su relación con las proyecciones de cambio climático en las zonas Antisana-Papallacta</x:t>
  </x:si>
  <x:si>
    <x:t xml:space="preserve">ECAP-AT-2025-005</x:t>
  </x:si>
  <x:si>
    <x:t xml:space="preserve">Antisana
Papallacta</x:t>
  </x:si>
  <x:si>
    <x:t xml:space="preserve">Analizar la variabilidad espaciotemporal de la precipitación en las zonas Antisana-Papallacta y evaluar su correspondencia con las proyecciones de cambio climático del modelo WEAP del sistema de agua urbano del DMQ, mediante el procesamiento de registros históricos de la red FONAG-EPMAPS para contribuir a la validación de escenarios climáticos locales y fortalecer la gestión integral del recurso hídrico 
regional.</x:t>
  </x:si>
  <x:si>
    <x:t xml:space="preserve">Tatiana
Diego </x:t>
  </x:si>
  <x:si>
    <x:t xml:space="preserve">Modelización del balance hídrico en la cuenca del río Jatunhuayco y la Laguna La Mica</x:t>
  </x:si>
  <x:si>
    <x:t xml:space="preserve">Cristian Castillo
John Satuquinga</x:t>
  </x:si>
  <x:si>
    <x:t xml:space="preserve">Balance hídrico del embalse Salve Faccha</x:t>
  </x:si>
  <x:si>
    <x:t xml:space="preserve">Determinar el balance hídrico del embalse Salve Faccha del EPMAPS Agua de Quito ubicado en el Parque Nacional Cayambe Coca.</x:t>
  </x:si>
  <x:si>
    <x:t xml:space="preserve">Paul Lema</x:t>
  </x:si>
  <x:si>
    <x:t xml:space="preserve">Comparación de la regeneración vegetal post-incendio, natural y asistida en áreas con dominancia de vegetación exotica (Eucalyptus spp.) del Parque Metropolitano Guangüiltagua, Quito-Ecuador.</x:t>
  </x:si>
  <x:si>
    <x:t xml:space="preserve">Biología</x:t>
  </x:si>
  <x:si>
    <x:t xml:space="preserve">* Caracterizar la composición florística de la vegetación herbácea y arbustiva en áreas con regeneración natural y asistida.
* Contrastar cuantitativamente la regeneración de la vegetación herbácea y arbustiva en áreas dominadas por Eucalyptus spp.  en función del tipo de restauración (natural o asistida). </x:t>
  </x:si>
  <x:si>
    <x:t xml:space="preserve">Caracterización de los patrones de regeneración vegetal post-incendio a partir de la composición florística, la riqueza y la abundancia de especies, comparando áreas con regeneración natural y regeneración asistida dentro de coberturas dominadas por Eucalyptus spp. </x:t>
  </x:si>
  <x:si>
    <x:t xml:space="preserve">José Zambrano PRCV</x:t>
  </x:si>
  <x:si>
    <x:t xml:space="preserve">LÍNEAS PRIORITARIAS DE INVESTIGACIÓN DE ECAP</x:t>
  </x:si>
  <x:si>
    <x:t xml:space="preserve">Investigaciones desarrolladas por la Estación Científica Agua y Páramo</x:t>
  </x:si>
  <x:si>
    <x:t xml:space="preserve">Proyectos (implica trabajo activo del tutor académico o del equipo profesional)</x:t>
  </x:si>
  <x:si>
    <x:t xml:space="preserve">Año inicio del estudio</x:t>
  </x:si>
  <x:si>
    <x:t xml:space="preserve">Año final del estudio</x:t>
  </x:si>
  <x:si>
    <x:t xml:space="preserve">Campo de investigación</x:t>
  </x:si>
  <x:si>
    <x:t xml:space="preserve">Líneas prioritarias de investigación en ECAP</x:t>
  </x:si>
  <x:si>
    <x:t xml:space="preserve">Valoración de la Relevancia de las Investigaciones según Encuestas</x:t>
  </x:si>
  <x:si>
    <x:t xml:space="preserve">Costos ECAP (USD)</x:t>
  </x:si>
  <x:si>
    <x:t xml:space="preserve">Contraparte Universidad o Institución de Investigación</x:t>
  </x:si>
  <x:si>
    <x:t xml:space="preserve">Indicador de Relevancia </x:t>
  </x:si>
  <x:si>
    <x:t xml:space="preserve">Contraparte ECAP</x:t>
  </x:si>
  <x:si>
    <x:t xml:space="preserve">Geofisica INIGEMM, 2018</x:t>
  </x:si>
  <x:si>
    <x:t xml:space="preserve">Estudio geológico y geofísico de la cuenca del Jatunhuayco Escala 1:10 000</x:t>
  </x:si>
  <x:si>
    <x:t xml:space="preserve">Instituto de Investigación Geológico y Energético </x:t>
  </x:si>
  <x:si>
    <x:t xml:space="preserve">Mica Quito Sur</x:t>
  </x:si>
  <x:si>
    <x:t xml:space="preserve">Realizar el estudio geológico y geofísico de la cuenca del río Jatunhuaycu. Generar información geológica a escala 1:10 000. Determinar la presencia de agua en el sustrato rocoso mediante prospección geofísica</x:t>
  </x:si>
  <x:si>
    <x:t xml:space="preserve">Cuenca del río Jatunhuaycu</x:t>
  </x:si>
  <x:si>
    <x:t xml:space="preserve">En lo que respecta a la Geología incluye los siguientes pasos: 1) Levantamiento geológico: etapa de preparación o de pre-campo, levantamiento de información en campo, se recolectaron un total de 10 muestras de roca para el posterior análisis en el laboratorio petrográfico del IIGE y la etapa de gabinete para el procesamiento de los datos de campo y la elaboración del mapa geológico; 2) Resultados del levantamiento geológico: descripción de los trabajos previos, geología regional, geomorfología, análisis geomorfológico, geología local, evolución geológica. Con respeto a la Geofísica incluye lo siguiente: 1) Levantamiento geofísico para la caracterización del maziso rocoso y determinar la presencia de agua en el subsuelo mediante un método eléctrico que consiste en establecer las curvas de variaciones con la profundidad de la resistividad del terreno, para lo cual se utilizó equipo de prospección geofísica. Se realizó el levantamiento de información geofísica, así como la onfiguración geofísica. Como fundamento teórico se consideró: el método eléctrico, dispositivos electródicos, resistividad de materiales y rocas, características de la investigación de campo e interpretación de tomografías eléctricas. </x:t>
  </x:si>
  <x:si>
    <x:t xml:space="preserve">Los trabajos de prospección geofísica permiten identificar dos niveles de zonas con saturación de agua (depósitos de arena), separados por una capa semiperameable compuesta por materiales volcánicos en matrices limo-arcillosas y limo-arenosas, el primer nivel se encuentra subsuperficial y con un espesor aproximado de 10 m (saturación de agua media - alta), el segundo nivel a una profundidad de 60 m y un espesor que supera los 140 m (saturación de agua media). La zona de estudio está afectada por fallas, las cuales controlan la parte hidrológica de la cuenca del río Jatunhuaycu, las de mayor importancia superan los 200 m de profundidad y afectan a los dos niveles de las zonas saturadas de agua. El sistema hidrológico de la cuenca en estudio es complejo debido a que algunos humedales reciben caudal de los drenajes principales y afluentes, mientras en zonas como la del humedal central aporta caudal al drenaje principal del río Jatunhuaycu, estas variaciones de caudal se asocian a las diferentes litologías y estructuras geológicas presentes.</x:t>
  </x:si>
  <x:si>
    <x:t xml:space="preserve">Realizar perforaciones de investigación en la parte alta media y baja de la cuenca para establecer una relación entre la porosidad y conductividad hidráulica de la zona y definir un modelo conceptual hidrogeológico. Complementar la red de piezómetros sub-superficiales a lo largo de la cuenca del río Jatunhuaycu a una profundidad superior a 15 m (atravesar la capa semipermeable) para monitorear las zonas con alta saturación de agua y poder obtener el mapa piezométrico  y definir mejor la interacción entre las aguas subterráneas y superficiales de la cuenca.</x:t>
  </x:si>
  <x:si>
    <x:t xml:space="preserve">Geología</x:t>
  </x:si>
  <x:si>
    <x:t xml:space="preserve">IIGE y FONAG</x:t>
  </x:si>
  <x:si>
    <x:t xml:space="preserve">Se financió la logística, viáticos y combustible de los técnicos del IIGE (ex INEIGEM)</x:t>
  </x:si>
  <x:si>
    <x:t xml:space="preserve">Equipo de prospección geofísica Super Sting R8 y generación de informe técnico sobre la información hidrogeológica del ACH Antisana</x:t>
  </x:si>
  <x:si>
    <x:t xml:space="preserve">Briofitas UDLA, 2022</x:t>
  </x:si>
  <x:si>
    <x:t xml:space="preserve">Diversidad florística, fauna asociada y ecofisiología de briófitos en áreas bajo restauración del humedal Pugllohuma de la Reserva Ecológica Antisana</x:t>
  </x:si>
  <x:si>
    <x:t xml:space="preserve">UDLA</x:t>
  </x:si>
  <x:si>
    <x:t xml:space="preserve">Caracterizar la diversidad florística, su fauna asociada y aspectos ecofisiológicos de briófitas en zonas bajo restauración y sin restaurar en los diferentes meso hábitats del humedal Pugllohuma para identificar potenciales indicadores del proceso de restauración ecológica. Realizar un inventario de especies briófitas, especias de fauna asociadas.</x:t>
  </x:si>
  <x:si>
    <x:t xml:space="preserve">Para el inventario se realiza un reconocimiento en campo de los diferentes mesohábitats en las áreas de bajo restauración y sin restaurar del humedal. Toma de muestras preliminares briófitas, suelo y agua para análisis preliminar y ajuste de los protocolos de trabajo. Salidas de campo para toma de muestras de briófitos (16 de febrero de 2022) en diferentes mesohábitats del humedal, análisis de muestras de agua y suelos en el laboratorio. Identificación, catálogo y medición de caracteres y rasgos de las espcies de flora de briófitos e interpretación de resultados. Para el inventario de especies de fauna se realiza un muestreo de macroinvertebrados asociados a pozos e identificación de muestras colectadas para separar e identificar los macroinvertebrados acuáticos. Enfoque en pozos de áreas de restauración y áreas fuera de la zona de restauración. Para evaluar la respuesta ecofisiológica del musgo acuático dominante Warnstorfia exannulata se toma muestras en pozos del área sin restauración y de la zona de transición para realizar ensayos de fotosíntesis-irradianca en laboratorio y generar información necesaria para evaluar diferentes poblaciones en los tipos de pozo encontrados.</x:t>
  </x:si>
  <x:si>
    <x:t xml:space="preserve">• El comportamiento de los macroinvertebrados con relación a la distribución en los diferentes puntos de muestreo se ven influenciados por las variables fisicoquímicas y físicas que limitan su presencialidad en ciertos puntos acorde a la adaptación de la familia en cuanto a los parámetros predominantes, en este caso, agrupándolos en dos grupos, zonas con y sin recuperación.
• En el Humedal Pugllohuma se identificaron 11 familias de macroinvertebrados acuáticos, estableciendo de esta manera, una línea base para futuras investigaciones, las cuales son requeridas para entender de mejor manera el funcionamiento de este ecosistema y poder trazar una adecuada gestión ambiental del mismo.
• Los resultados obtenidos a partir del análisis de los datos entre el hábitat físico, parámetros fisicoquímicos y los macroinvertebrados, arrojaron la existencia de una relación significativa, sin embargo, dentro de los criterios del hábitat físico hay mucha importancia en cuanto al tamaño y la conectividad de las pozas, definiéndolos como atributos determinantes en la composición bentónica.
• Se concluye en que a través de estos análisis las pozas con recuperación tienen un impacto positivo en su composición versus las pozas sin recuperación que no tienen gran tamaño ni tampoco conectividad.</x:t>
  </x:si>
  <x:si>
    <x:t xml:space="preserve">Ecología de páramo </x:t>
  </x:si>
  <x:si>
    <x:t xml:space="preserve">Se financió la logística, viáticos y combustible de los investigadores de la UDLA, se realizaron solamente 5 salidas por lo que el monto invetido fue de menos de 2000</x:t>
  </x:si>
  <x:si>
    <x:t xml:space="preserve">Se encontró una nueva especie de musgo y se generó un artículo de esto. </x:t>
  </x:si>
  <x:si>
    <x:t xml:space="preserve">Servicio Forestal de los Estados Unidos - EPMAPS - FONAG</x:t>
  </x:si>
  <x:si>
    <x:t xml:space="preserve">Uso de Trazadores colorimétrico en la cuenca Jatunhuaycu para identificar flujos y permanencia.</x:t>
  </x:si>
  <x:si>
    <x:t xml:space="preserve">Servicio Forestal de los Estados Unidos</x:t>
  </x:si>
  <x:si>
    <x:t xml:space="preserve">Conocer la dinámica hidrológica de los flujos de agua subsuperficial y subterráneos en ámbito de intervención del FONAG, a través de trazadores colorimétricos para marcar la relación entre zonas de recarga y afloramientos. Entender el camino subterráneo del agua en la microcuenca 2 del río Jatunhuaycu.</x:t>
  </x:si>
  <x:si>
    <x:t xml:space="preserve">Microcuenca 2 del río Jatunhuaycu</x:t>
  </x:si>
  <x:si>
    <x:t xml:space="preserve">Se inyectarán 2 tipos de trazadores colorimétricos en dos puntos de la microcuenca 2 (parte alta es un arenal y el punto dos en el río). Una campaña de aforos de este río pudo mostrar que en algunas zonas, el río pierde agua, muy probablemente por infiltración a través de su lecho de lava fracturada. El propósito de inyectar en el río es de poder identificar estas fugas. Se utilizan como trazadores fluorescina (verde) y eosina (rojo). Desde el inicio del estudio (30 de agosto de 2019), se ha analizado un total de 1261 muestras de carbono para detectar la presencia de tinte. Las últimas 28 muestras se enviaron a EE. UU. en diciembre de 2020 y los resultados se recibieron en enero y se presentaron en el último informe.</x:t>
  </x:si>
  <x:si>
    <x:t xml:space="preserve">Ninguna muestra ha detectado colorante hasta la fecha, salvo las localizadas a lo largo del río donde se inyectó la eosina, lo más probable es que signifique que los tintes no tuvieron tiempo suficiente para viajar desde el punto de inyección hasta los puntos de detección. La tesis de Braulio Lahuatte, concluyó en abril de 2021 que el tiempo de tránsito en una de las subcuencas de Jatunhuaycu es superior a 5 años (estimación del tiempo mínimo que tarda la precipitación en llegar al caudal del arroyo, a través de flujos de agua en el suelo). Esta conclusión se llegó gracias a estudios de isótopos estables y corrobora nuestra hipótesis con respecto al presente estudio del trazador de tinte.
</x:t>
  </x:si>
  <x:si>
    <x:t xml:space="preserve">Agua subsuperficial y subterránea: uso trazadores colorimétricos</x:t>
  </x:si>
  <x:si>
    <x:t xml:space="preserve">Proyecto financiado por el United States Forest Services, quien realizó el contacto con el labortorio de OZARKS para asesoramiento de expertos en trazadores colorimétricos y análisis de laboratorio. La ECAP siguió con los análisis posterior al acuerdo con USFF para ver si se detectaba el trazador, el monto que se especifica corresponde al análisis de esas muestras</x:t>
  </x:si>
  <x:si>
    <x:t xml:space="preserve">Proyecto CEDIA Ximena  Palomeque</x:t>
  </x:si>
  <x:si>
    <x:t xml:space="preserve">Emergencia de plántulas nativas mediante la técnica de siembra directa y crecimiento y supervivencia de siembra de plántulas de Chuquiraga jussieui en el Páramo del Antisana.</x:t>
  </x:si>
  <x:si>
    <x:t xml:space="preserve">Universidad del Azuay, Cuenca y Central del Ecuador</x:t>
  </x:si>
  <x:si>
    <x:t xml:space="preserve">Determinar la influencia del gradiente microclimático y ecológico sobre la emergencia de plántulas nativas para la restauración del páramo Antisana. </x:t>
  </x:si>
  <x:si>
    <x:t xml:space="preserve">Páramo del volcán Antisana: cuatro zonas con diferente cobertura (pajonal, arbustal, arenal y área de referencia más conservada)</x:t>
  </x:si>
  <x:si>
    <x:t xml:space="preserve">Se estableción un total de 5 repeticiones en cada cobertura (arenal arbustal, conservado y pajonal), a excepción del área conservada, en la cual se establecieron solo 2 tratamientos (solo áreas bajo sombra). Se establecieron 4 tratamientos en cada cobertura: protección y sombra, protección y luz, sin protección y sombra, sin protección y luz. Se tomaron muestras para el experimento de germinación de semillas y el experimento de crecimiento y supervivencia de plántulas de Chuquiraga jussieui. Los datos de crecimiento y supervivencia se registraron una vez por mes por un lapso de cuatro meses en una ficha de colección de datos.</x:t>
  </x:si>
  <x:si>
    <x:t xml:space="preserve">Las parcelas permanentes experimentales con las cuatro coberturas (pajonal, pajonal-arbustal, arenal y páramo conservado) junto con los diferentes tratamientos ayudaron a saber los pros y contras al realizar restauración desde semilla en los páramos. Se encontró el tratamiento con sombra y protección como buen estrategia para futuros experimentos e investigaciones. Las coberturas donde hay mejor crecimiento son en pajonal y páramo conservado, bajo sombra y protegidos de la herbivoría. Las plántulas sobreviven mejor en presencia de luz y protegidas de hervíboros. La cobertura vegetal no contribuye al desarrollo ni supervivencia de las plántulas, mientras que los tratamientos si, especialmente el de sombra y protección. </x:t>
  </x:si>
  <x:si>
    <x:t xml:space="preserve">Flora</x:t>
  </x:si>
  <x:si>
    <x:t xml:space="preserve">Se realizó el acercamineto con Ximena Palomeque quien concursó y ganó los fondos CEDIA. ECAP facilitaba la logística (permisos de acceso) a  las áreas. De aquí salió el doctorado de Byron Medina, docente de la UCE</x:t>
  </x:si>
  <x:si>
    <x:r>
      <x:t xml:space="preserve">Torre Eddy Covariance,  Xavier Zapata, no está nada publicado, solo hay unos avances, </x:t>
    </x:r>
    <x:r>
      <x:rPr>
        <x:b/>
        <x:sz val="11"/>
        <x:rFont val="Calibri"/>
        <x:family val="2"/>
        <x:scheme val="minor"/>
      </x:rPr>
      <x:t xml:space="preserve">FALTAN RESULTADOS OFICIALES, INCONCLUSO</x:t>
    </x:r>
  </x:si>
  <x:si>
    <x:t xml:space="preserve">Temas varrios en construcción: flujo de carbono (presentación jornadas, no se utiliza, captor no emisor) y de agua en el páramo del Antisana (presentación evapotranspiración, ayuda para hacer los balances hídricos)</x:t>
  </x:si>
  <x:si>
    <x:t xml:space="preserve">Flujo de carbono</x:t>
  </x:si>
  <x:si>
    <x:t xml:space="preserve">Básicamente facilidad en temas logísticos, entrega de permisos</x:t>
  </x:si>
  <x:si>
    <x:t xml:space="preserve">Acceso a los datos generados por la Torre Eddycovariance, En un video de una reunión Xavier menciona que la Torre costó aproximadamente 150000 dolares</x:t>
  </x:si>
  <x:si>
    <x:t xml:space="preserve">Cepario PUCE</x:t>
  </x:si>
  <x:si>
    <x:t xml:space="preserve">Identificación taxonómica de microalgas y cianobacterias de embalses alto-andinos que abastecen de agua de consumo humano al Distrito Metropolitano de Quito”</x:t>
  </x:si>
  <x:si>
    <x:t xml:space="preserve">Mica Quito Sur, Papallacta Integrado</x:t>
  </x:si>
  <x:si>
    <x:t xml:space="preserve">Generar un atlas de microalgas y cianobacterias del fitoplancton y perifiton en el embalse La Mica, embalse Succus y embalse Mogotes </x:t>
  </x:si>
  <x:si>
    <x:t xml:space="preserve">Embalse La Mica, embalse Succus, embalse Mogotes</x:t>
  </x:si>
  <x:si>
    <x:t xml:space="preserve">El procedimiento incluye los siguientes pasos: 1) colecta de muestras, 2) fase de campo (colecta del perifiton en el embalse Succus, Mogotes, La Mica), 3) fase de laboratorio: identificación de microalgas y cianobacterias del perifiton y el fitocplancton de los embalses y sus tributarios respectivos, identificación taxonómica, aislamiento y caracterización de cianobacterias en medio del cultivo semisólido selectivo, preparación de placas semipermanentes de cianobacterias aisladas y 4) descripción de microalgas y cianobacterias</x:t>
  </x:si>
  <x:si>
    <x:t xml:space="preserve">1) Atlas de microalgas y cianobacterias de los embalses Sucus y Mogotes, 2) Atlas de microalgas y cianobacterias del fitoplancton y perifiton del embalse La Mica.</x:t>
  </x:si>
  <x:si>
    <x:t xml:space="preserve">Microalgas y cianobacterias</x:t>
  </x:si>
  <x:si>
    <x:t xml:space="preserve">Acompañamiento técnico especialmente de Diana Ontaneda y compra de insumos para cepario en el laboratorio de la católica. Además del pago de la impresión y diagramación de los Atlas</x:t>
  </x:si>
  <x:si>
    <x:t xml:space="preserve">Los laboratorios especializados, y personal técnico especializado en identificación de las microalgas y cianobactetias, además del desarrollo como tal del libro</x:t>
  </x:si>
  <x:si>
    <x:t xml:space="preserve">Proyecto ARES, Paéz-Bimos et al. 2022</x:t>
  </x:si>
  <x:si>
    <x:t xml:space="preserve">PARAMOSUS-Linking Global Change with Soil and Water Conservation in the High Andes: "Vegetation effects on soil pore structure and hydraulic properties in volcanic ash soils of the high Andes" </x:t>
  </x:si>
  <x:si>
    <x:t xml:space="preserve">Examinar cómo la vegetación y los atributos topográficos se relacionan con las propiedades hidráulicas del suelo y la estructura de los poros del suelo, en suelos jóvenes de cenizas volcánicas, su correlación con la textura del suelo, el carbono orgánico y las características de las raíces.  </x:t>
  </x:si>
  <x:si>
    <x:t xml:space="preserve">Subcuenca del Jatunhuaycu (0,7 km2)</x:t>
  </x:si>
  <x:si>
    <x:t xml:space="preserve">Se mide la retención de agua en el suelo, la conductividad hidráulica saturada, la densidad aparente y los parámetros de distribución del tamaño de los poros en ocho perfiles de suelo con tipos de vegetación contrastantes (plantas formadoras de cojines versus pastos de matas) y posiciones topográficas (cumbres frente a laderas). </x:t>
  </x:si>
  <x:si>
    <x:t xml:space="preserve">Se observan diferencias significativas en las propiedades hidráulicas del suelo y la estructura de los poros del suelo en los horizontes superiores según el tipo de vegetación, mientras que la topografía tuvo un efecto menor.
La conductividad hidráulica saturada de los horizontes superficiales es alta en comparación con las intensidades de lluvia, lo que resulta en una alta capacidad de infiltración; mientras que su disminución con la profundidad revela el potencial de generación de flujos de tormenta subterráneos, especialmente debajo de las plantas que forman cojines. Nuestros hallazgos resaltan que las propiedades hidráulicas del suelo difieren entre los tipos de vegetación y muestran la importancia de los tipos de vegetación para la hidrología del suelo.</x:t>
  </x:si>
  <x:si>
    <x:t xml:space="preserve">Vegetación y atributos topográficos y su relación con las propiedades hidráulicas del suelo</x:t>
  </x:si>
  <x:si>
    <x:t xml:space="preserve">Vinculación y seguimiento en la formulación y ejecución del proyecto. Fue un claro ejemplo en el cual no se utilizaron fondos propios. </x:t>
  </x:si>
  <x:si>
    <x:t xml:space="preserve">Proyecto finació 2 doctorados y 2 tésis de maestría en el Antisana. Además de la instrumentación y los anñalisis de laboratorio. El proyecto fue de 499986 Euros</x:t>
  </x:si>
  <x:si>
    <x:t xml:space="preserve">Proyecto ARES, Paéz-Bimos et al. 2023</x:t>
  </x:si>
  <x:si>
    <x:t xml:space="preserve">PARAMOSUS-Linking Global Change with Soil and Water Conservation in the High Andes: "Soil-vegetation-water interactions controlling solute flow and chemical weathering in volcanic ash soils of the high Andes"</x:t>
  </x:si>
  <x:si>
    <x:t xml:space="preserve">Investigar el equilibrio hídrico del suelo y los flujos de solutos con diferentes tipos de vegetación (plantas formadoras de cojines versus pastos), midiendo el contenido de agua, flujo y concentración de solutos y modelando la hidrología del suelo. Evaluar el papel del balance hídrico del suelo en la meteorización química del suelo.</x:t>
  </x:si>
  <x:si>
    <x:t xml:space="preserve">Cuenca de Jatunhuaycu</x:t>
  </x:si>
  <x:si>
    <x:t xml:space="preserve">La metodología incluye: 1) la determinación de las propiedades hidrofísica y químicas del suelo, 2) hidrometría y flujos de agua, 3) modelación del flujo de agua, 4) caracterización de soluciones de suelo (colección y pretratamiento, análisis químico) y 5) análisis estadístico. </x:t>
  </x:si>
  <x:si>
    <x:t xml:space="preserve">Los hallazgos revelan el papel del tipo de vegetación para modificar las propiedades biogeoquímicas e hidrofísicas del suelo en el horizonte superior del suelo y, por lo tanto, para controlar el equilibrio hídrico, los flujos de solutos y la meteorización química contemporánea del suelo en todo el perfil del suelo.
</x:t>
  </x:si>
  <x:si>
    <x:t xml:space="preserve">Vegetación y  el suelo </x:t>
  </x:si>
  <x:si>
    <x:t xml:space="preserve">Proyecto ARES, Lahuatte et al. 2022</x:t>
  </x:si>
  <x:si>
    <x:t xml:space="preserve">PARAMOSUS-Linking Global Change with Soil and Water Conservation in the High Andes: "Delineation of water flow paths in a tropical Andean headwater catchment with deep soils and permeable bedrock" </x:t>
  </x:si>
  <x:si>
    <x:t xml:space="preserve">FONAG</x:t>
  </x:si>
  <x:si>
    <x:t xml:space="preserve">Estudiar  la composición isotópica estable de la precipitación, el agua del suelo, los humedales y el caudal de los ríos para proporcionar información sobre la hidrología de una pequeña cuenca andina tropical con suelos volcánicos profundos y permeables, capas de ceniza y lecho rocoso fracturado resultante de la actividad volcánica del Holoceno.</x:t>
  </x:si>
  <x:si>
    <x:t xml:space="preserve">El procedimiento metodológico incluye el diseño experimental, la colección de muestras de agua, análisis de laboratorio, análisis de la variación espacial y temporal de la señal isotópica y análisis de mezcla de agua. </x:t>
  </x:si>
  <x:si>
    <x:t xml:space="preserve">Aunque la precipitación local se forma en condiciones de equilibrio isotópico, la composición isotópica estable de la precipitación está influenciada por los procesos de reciclaje de la humedad atmosférica. La variabilidad espacial y temporal de las señales isotópicas y el análisis de los indicadores del tiempo de tránsito inverso (ITTP) de las aguas superficiales (caudal) y subterráneas (suelo y humedales) indican que las rutas de flujo vertical a través de los suelos profundos de cenizas volcánicas son dominantes en toda la cuenca.  La composición isotópica fuertemente amortiguada de estas aguas indica un alto almacenamiento de agua en el suelo y los humedales, lo que aumenta el tiempo de tránsito o la edad del agua de los arroyos en el sistema hidrológico.</x:t>
  </x:si>
  <x:si>
    <x:t xml:space="preserve">La comparación con trabajos publicados previamente sobre cuencas andinas y otras áreas volcánicas muestra la diversidad de condiciones hidrológicas que se pueden encontrar como resultado de diferencias edafológicas y litológicas determinadas por la actividad volcánica. Pueden ser necesarias estrategias específicas para el sitio para mejorar la gestión de los recursos hídricos.</x:t>
  </x:si>
  <x:si>
    <x:t xml:space="preserve">Hidrología: cuencas con suelos profundos y lecho rocoso permeable</x:t>
  </x:si>
  <x:si>
    <x:t xml:space="preserve">Proyecto ARES, Escobar et al. 2024</x:t>
  </x:si>
  <x:si>
    <x:t xml:space="preserve">PARAMOSUS-Linking Global Change with Soil and Water Conservation in the High Andes: "Soil moisture forecast using transfer learning: an application in the high tropical Andes" </x:t>
  </x:si>
  <x:si>
    <x:t xml:space="preserve">EPMAPS</x:t>
  </x:si>
  <x:si>
    <x:t xml:space="preserve">Modelar y predecir la dinámica de la humedad del suelo utilizando datos hidrometeorológicos recopilados in situ para el manejo de datos a través de técnicas de machine learning. </x:t>
  </x:si>
  <x:si>
    <x:t xml:space="preserve">Subcuenca JTU_1 dentro de la Cuenca de Jatunhuaycu</x:t>
  </x:si>
  <x:si>
    <x:t xml:space="preserve">Se desarrolló un modelo de referencia para predecir la dinámica de la humedad del suelo utilizando técnicas de redes neuronales. Posteriormente, mediante técnicas de transferencia-aprendizaje, este modelo se aplicó eficazmente a diferentes horizontes y perfiles de suelo, demostrando su capacidad de generalización y adaptabilidad. El uso de esquemas de redes neuronales y técnicas de transferencia de conocimiento permitió
desarrollar modelos predictivos de la humedad del suelo basados ​​en datos hidrometeorológicos recopilados in situ.</x:t>
  </x:si>
  <x:si>
    <x:t xml:space="preserve">Los resultados resaltan el papel fundamental de la vegetación en el control de la dinámica de la humedad del suelo y las diferencias significativas en el equilibrio hídrico del suelo relacionadas con los tipos de vegetación y la topografía. Los modelos muestran un potencial prometedor para predecir con precisión la dinámica de la humedad del suelo a corto plazo con aplicaciones potenciales para el monitoreo de peligros naturales en regiones montañosas.</x:t>
  </x:si>
  <x:si>
    <x:t xml:space="preserve">Vegetación y Humedad del suelo</x:t>
  </x:si>
  <x:si>
    <x:r>
      <x:t xml:space="preserve">Proyecto ECAP, </x:t>
    </x:r>
    <x:r>
      <x:rPr>
        <x:b/>
        <x:sz val="11"/>
        <x:rFont val="Calibri"/>
        <x:family val="2"/>
        <x:scheme val="minor"/>
      </x:rPr>
      <x:t xml:space="preserve">NO HAY INFORME FINAL SOLO PRESENTACIÓN, INCONCLUSO</x:t>
    </x:r>
  </x:si>
  <x:si>
    <x:t xml:space="preserve">Proyecto de trazadores colorimétricos en el ACH Atacazo</x:t>
  </x:si>
  <x:si>
    <x:t xml:space="preserve">ECAP</x:t>
  </x:si>
  <x:si>
    <x:t xml:space="preserve">Utilizar trazadores colorimétricos para "ver" las rutas del flujo. Determinar la respuesta de las cuencas (temporal), determinar los caminos de conexión (espacial) entre cabecera y galerías/río, identificar potencial trasvases entre cuencas y con la cuenca de Zapallar.</x:t>
  </x:si>
  <x:si>
    <x:t xml:space="preserve">Dos cuencas conectadas con el predio San Gabriel: Dique Norte y Carachas</x:t>
  </x:si>
  <x:si>
    <x:t xml:space="preserve">El estudio consiste en inyectar tintes totalmente inofensivos en los suelos de microcuencas de cabecera: Dique Norte, Carachas y Zapallar. Una vez realizada la inyección se instalarán carbones activados en los ríos a la salida de las microcuencas (y galerías) con el objetivo de recuperar el tinte. Los carbones absorben y acumulan el tinte que pasa por el caudal del río. Se plantea instalar carbones a distintas frecuencias, desde semanas hasta meses. A través del análisis de laboratorio de los carbones se podrá determinar si existe o no presencia del trazador. Este análisis permite conocer la respuesta temporal de la relación lluvia-escorrentía; es decir, facilita comprender las rutas de flujo que sigue el agua desde que ingresa como precipitación, atraviesa distintos sustratos y sale en forma de caudal. Con este tipo de estudios se puede definir zonas de recarga y además verificar si existen trasvases subsuperficiales de agua desde una cuenca a otra.</x:t>
  </x:si>
  <x:si>
    <x:t xml:space="preserve">Trazadores colorimétricos para comprender rutas del flujo</x:t>
  </x:si>
  <x:si>
    <x:t xml:space="preserve">Continuación del proyecto de Antisana, sigue en marcha ya que está pendiente el envio del último set de carbones por lo que no existen todavía resultados. Se utilizaron los insumos que sobraron de antisana y se pagaron únicamente el costo de los análisis en OZARK </x:t>
  </x:si>
  <x:si>
    <x:t xml:space="preserve">Proyecto ECAP</x:t>
  </x:si>
  <x:si>
    <x:t xml:space="preserve">Caracterización de macrofósiles a lo largo de perfiles de turba en dos humedales altoandinos dentro del Área de Conservación Hídrica Antisana</x:t>
  </x:si>
  <x:si>
    <x:t xml:space="preserve">Realizar un análisis paleo ambiental en turberas en dos humedales alto andinos dentro de ACH Antisana mediante la técnica biológica de macrofósiles vegetales.</x:t>
  </x:si>
  <x:si>
    <x:t xml:space="preserve">Turberas Pugllohuma y Jatunhuaycu</x:t>
  </x:si>
  <x:si>
    <x:t xml:space="preserve">Se realiza una fase de campo que consiste en el muestreo en las turberas de Pugllohuma y Jatunhuaycu. Las muestras se obtuvieron utilizando un barrenador ruso y se subdividió en subnúcleos de 50 cm. Posteriormente se realizan ensayos en laboratorio donde se separaron las diferentes especies de plantas y otros residuos que se encontraban en la muestra para luego examinar cada una en un estereomicroscopio. Los restos macrofósiles fueron divididos en: restos de especies que se pudieran identificar (plantago rigida, raíces, plantas herbáceas, musgos y restos no identificados) y los sedimentos como minerales y cenizas volcánicas. La identificación se realizó por comparación con información disponible en manuales, publicaciones, claves taxonómicas y plantas frescas colectadas de la superficie.</x:t>
  </x:si>
  <x:si>
    <x:t xml:space="preserve">Se identificaron en total cinco taxones entre las dos turberas, que incluyó las siguientes plantas vasculares Plantago rigida, Carex, Caltha sagittata y los briofitos Calliergon sp., Straminergon sp. Además, se realizó un registro fotográfico de los fósiles vegetales a diferentes aumentos. El contenido de debris fue muy importante en las dos turberas durante todo el perfil. Se determinó dos depósitos de ceniza importantes en cada turbera. La dinámica de la ecología de las turberas de análisis ha variado con el tiempo. Se distinguió los daños en la vegetación ocasionados por la ganadería, reconociéndose una reducción generalizada de la recuperación de la vegetación de P. rigida en Pugllohuma y Carex en Jatunhuayco en el último siglo. En la parte superficial se evidenció los efectos de la restauración de años recientes en los dos centímetros más superficiales dónde se registra un aumento de especies que crecen en ambientes húmedos como P. rigida y Caltha sagittata. Los ecosistemas en Pugllohuma y Jatunhuayco comprendidos entre las profundidades 52 a 51 cm y 41 a 39 cm respectivamente podrían considerase como buena referencia de la composición vegetal para la restauración.</x:t>
  </x:si>
  <x:si>
    <x:t xml:space="preserve">Se recomienda tomar núcleos de diferentes zonas del mismo humedal, ya que la composición vegetal en turberas en el presente y pasado puede diferir 
dependiendo del contenido de agua. Especialmente, en el área de Jatunhuayco donde el terreno presenta diferencias de nivel, y en el que se halló alto contenido de materia orgánica descompuesta. </x:t>
  </x:si>
  <x:si>
    <x:t xml:space="preserve">Macrofósiles: Restos vegetales en turberas</x:t>
  </x:si>
  <x:si>
    <x:t xml:space="preserve">Contacto con la Javeriana de Bogota para generar el proyecto. Ellos pusieron el especialista y el equipo de muestreo. ECAP contempló el viaje del experto, su alojamiento, movilización. No se pagó ningun tipo de honorario</x:t>
  </x:si>
  <x:si>
    <x:t xml:space="preserve">Experiencia en la temática que no había sido aplicada previamente en el país y generación de informe técnico</x:t>
  </x:si>
  <x:si>
    <x:t xml:space="preserve">Proyecto OIEA ECU7008</x:t>
  </x:si>
  <x:si>
    <x:t xml:space="preserve">Fortalecimiento de las capacidades nacionales para
identificar estrategias de conservación y recuperación del agua para las
ciudades de Quit o y C uenca.</x:t>
  </x:si>
  <x:si>
    <x:t xml:space="preserve">OIEA</x:t>
  </x:si>
  <x:si>
    <x:t xml:space="preserve">Atacazo, Alto Pita, Antisana</x:t>
  </x:si>
  <x:si>
    <x:t xml:space="preserve"> EN CURSO</x:t>
  </x:si>
  <x:si>
    <x:t xml:space="preserve">Proyecto de embalses </x:t>
  </x:si>
  <x:si>
    <x:t xml:space="preserve">Procesos ecológicos d e 4 embalses que abastecen de
agua potable al DMQ, ubicados en los páramos Andinos</x:t>
  </x:si>
  <x:si>
    <x:t xml:space="preserve">Papallacta </x:t>
  </x:si>
  <x:si>
    <x:t xml:space="preserve">Este proyecto está enmarcado en el proyecto macro de EPMAPS "Gestión del conocimiento para la toma de decisiones en torno a la calidad de agua en los embalses y fuentes de agua de la EPMAPS". El proyecto se desarrolla con investigadores de las Facultades de Biología e Ingeniería Química de la Universidad Central del Ecuador (UCE).</x:t>
  </x:si>
  <x:si>
    <x:t xml:space="preserve">Proyecto NSF</x:t>
  </x:si>
  <x:si>
    <x:t xml:space="preserve">EN CURSO</x:t>
  </x:si>
  <x:si>
    <x:t xml:space="preserve"> Impacto del cambio climático sobre el retroceso de glaciares y cantidad y calidad de agua en Antisana.</x:t>
  </x:si>
  <x:si>
    <x:t xml:space="preserve">Uiversidad Carolina del Norte/EPN</x:t>
  </x:si>
  <x:si>
    <x:t xml:space="preserve">El proyecto investigará sobre el impacto del cambio climático en los glaciares tropicales de los Andes y su influencia en la cantidad y calidad del agua, así como en la interacción eco-hidro-biogeoquímica en ecosistemas de páramo. Es un proyecto de la National Science Fundation en consorcio con varias Universidades Estadounidenses. </x:t>
  </x:si>
  <x:si>
    <x:t xml:space="preserve">Cuencas Antisana y Jatunhuayco</x:t>
  </x:si>
  <x:si>
    <x:t xml:space="preserve">evaluar la sensibilidad del balance de C a las condiciones climáticas y glaciarias, proponemos investigar el ciclo anaerobio del C, incluyendo la producción de metano (CH4) y su acoplamiento con el azufre (S) y el hierro (Fe), para comprender las tasas de mineralización de C (oxidación del C orgánico a C inorgánico) que impulsan los flujos de gases de efecto invernadero (CO2 y CH4).</x:t>
  </x:si>
  <x:si>
    <x:t xml:space="preserve">x</x:t>
  </x:si>
  <x:si>
    <x:t xml:space="preserve">Proyecto INABIO Microbiota</x:t>
  </x:si>
  <x:si>
    <x:t xml:space="preserve">Evaluación de la salud y biodiversidad del suelo en los ecosistemas de páramo mediante el análisis de microorganismos (utilizando la técnica de metabarcodificación 16s).</x:t>
  </x:si>
  <x:si>
    <x:t xml:space="preserve">INABIO</x:t>
  </x:si>
  <x:si>
    <x:t xml:space="preserve">Proyecto IKI (SAMPeat)</x:t>
  </x:si>
  <x:si>
    <x:t xml:space="preserve"> DINÁMICAS DE EMISIÓN DE GASES DE EFECTO INVERNADERO EN TURBERAS ALTOANDINAS Y PATAGÓNICAS.</x:t>
  </x:si>
  <x:si>
    <x:t xml:space="preserve">IKI/FAO</x:t>
  </x:si>
  <x:si>
    <x:t xml:space="preserve">Dinámica de emisión de gases efecto invernadero en turberas</x:t>
  </x:si>
  <x:si>
    <x:t xml:space="preserve">Proyecto Fitopatología UCE</x:t>
  </x:si>
  <x:si>
    <x:t xml:space="preserve">Impacto de la planta invasora Thunbergia alata en las quebradas de Quito: Uso de Hongos Biocontroladores, Tecnologías SIG/NDVI, y Participación Ciudadana para la Conservación de la Biodiversidad y el Fomento del Turismo Rural. </x:t>
  </x:si>
  <x:si>
    <x:t xml:space="preserve">Proyecto Isotopía Regional</x:t>
  </x:si>
  <x:si>
    <x:t xml:space="preserve">Proyecto Limnología UCE</x:t>
  </x:si>
  <x:si>
    <x:t xml:space="preserve">Proyecto Agua segura</x:t>
  </x:si>
  <x:si>
    <x:t xml:space="preserve">Proyecto Isotopos BLANCA RIOS</x:t>
  </x:si>
  <x:si>
    <x:t xml:space="preserve">TRAZANDO EL ORIGEN Y LA CALIDAD DEL AGUA EN LOS ECOSISTEMAS DE PÁRAMO Y GLACIARES DE LOS ANDES ECUATORIANOS</x:t>
  </x:si>
  <x:si>
    <x:t xml:space="preserve">Antisana,Cotopaxi, Cayambe y Chimborazo</x:t>
  </x:si>
  <x:si>
    <x:t xml:space="preserve">Identify and quantify the relative contribution of glacial melt, precipitation, and groundwater to páramo water systems. </x:t>
  </x:si>
  <x:si>
    <x:t xml:space="preserve">Esta metodología propone un enfoque de evaluación integral que combina análisis fisicoquímicos (midiendo parámetros básicos y metales traza mediante sondas portátiles y espectrometría de masas ICP-MS) con muestreos biológicos, los cuales incluyen la recolección estandarizada de macroinvertebrados y el análisis de ADN ambiental (eDNA) por metabarcodificación. Posteriormente, la información física, química y biológica se consolida en una fase de integración de datos, donde se utilizan Sistemas de Información Geográfica (SIG) y modelos ecológicos multivariados para relacionar espacialmente las fuentes de agua con su uso aguas abajo y evaluar el ecosistema de forma global.</x:t>
  </x:si>
  <x:si>
    <x:t xml:space="preserve">HIDROGEOLOGÍA YACHAY</x:t>
  </x:si>
  <x:si>
    <x:t xml:space="preserve">Caracterización hidrogeofísica espaciotemporal del subsuelo somero en la cuenca alta del río Jatunhuaycu mediante Tomografía de Resistividad Eléctrica time-lapse (ERT 4D) </x:t>
  </x:si>
  <x:si>
    <x:r>
      <x:t xml:space="preserve">Evaluar la dinámica espacio-temporal de la saturación hídrica en los humedales del Área de Conservación Hídrica Antisana (ACHA) mediante la aplicación de Tomografía de Resistividad Eléctrica (ERT) en modalidad </x:t>
    </x:r>
    <x:r>
      <x:rPr>
        <x:i/>
        <x:sz val="11"/>
        <x:color theme="1"/>
        <x:rFont val="Calibri"/>
        <x:family val="2"/>
        <x:scheme val="minor"/>
      </x:rPr>
      <x:t xml:space="preserve">time-lapse</x:t>
    </x:r>
    <x:r>
      <x:rPr>
        <x:sz val="11"/>
        <x:color theme="1"/>
        <x:rFont val="Calibri"/>
        <x:family val="2"/>
        <x:scheme val="minor"/>
      </x:rPr>
      <x:t xml:space="preserve"> y su integración con variables hidrológicas, con el fin de determinar la eficacia de las intervenciones en el terreno y establecer lineamientos técnicos para el monitoreo continuo enfocado en la conservación del recurso hídrico.</x:t>
    </x:r>
  </x:si>
  <x:si>
    <x:r>
      <x:t xml:space="preserve">La metodología propuesta emplea un enfoque cuantitativo y aplicado centrado en el monitoreo geofísico multitemporal (</x:t>
    </x:r>
    <x:r>
      <x:rPr>
        <x:i/>
        <x:sz val="11"/>
        <x:color theme="1"/>
        <x:rFont val="Calibri"/>
        <x:family val="2"/>
        <x:scheme val="minor"/>
      </x:rPr>
      <x:t xml:space="preserve">time-lapse</x:t>
    </x:r>
    <x:r>
      <x:rPr>
        <x:sz val="11"/>
        <x:color theme="1"/>
        <x:rFont val="Calibri"/>
        <x:family val="2"/>
        <x:scheme val="minor"/>
      </x:rPr>
      <x:t xml:space="preserve">) integrado con datos ecohidrológicos, estructurado bajo un diseño cuasi-experimental tipo BACI (Antes-Después / Control-Impacto). Este diseño permite contrastar zonas de impacto intervenidas (ej. zanjas con bloqueos) frente a zonas de control (sin drenaje o distantes a los bloqueos) para evaluar la respuesta del nivel freático. El estudio se ejecutará en humedales prioritarios previamente instrumentados, como Jatunhuayco y Pugllohuma, aprovechando su red de estaciones hidrológicas y pozos de monitoreo continuo. Para garantizar la precisión del modelo, las líneas de Tomografía de Resistividad Eléctrica (ERT) se trazarán estratégicamente de forma transversal a las zanjas o a los gradientes de humedad esperados, ubicándose en estricta cercanía a los pozos para facilitar la calibración y validación de los datos obtenidos.</x:t>
    </x:r>
  </x:si>
  <x:si>
    <x:t xml:space="preserve">Proyecto TRITIO</x:t>
  </x:si>
  <x:si>
    <x:t xml:space="preserve">UTAH</x:t>
  </x:si>
  <x:si>
    <x:t xml:space="preserve">TOTAL APORTE (USD)</x:t>
  </x:si>
  <x:si>
    <x:t xml:space="preserve">Otros estudios referenciados en las investigaciones de ECAP</x:t>
  </x:si>
  <x:si>
    <x:t xml:space="preserve">Otros Estudios</x:t>
  </x:si>
  <x:si>
    <x:t xml:space="preserve">Investigaciones de ECAP que hacen referencia a estos estudios</x:t>
  </x:si>
  <x:si>
    <x:t xml:space="preserve">Resumen</x:t>
  </x:si>
  <x:si>
    <x:t xml:space="preserve">Ámbito de estudio o Sistema al que pertence el estudio</x:t>
  </x:si>
  <x:si>
    <x:t xml:space="preserve">Líneas de Investigación </x:t>
  </x:si>
  <x:si>
    <x:t xml:space="preserve">Teresa Muñoz, EPN, 2005</x:t>
  </x:si>
  <x:si>
    <x:t xml:space="preserve">Modelación del nivel principal del acuífero centro norte de Quito</x:t>
  </x:si>
  <x:si>
    <x:t xml:space="preserve">Reporta para el norte de Quito una escorrentía anual, igual al 27% de la precipitación media multi-anual. La elevada precipitación anual y las condiciones particulares del suelo en el sur de Quito, sugerirían un porcentaje de escorrentía ligeramente superior al 27%. El caudal que se infiltraría en el norte de Quito corresponde al 10% de las pérdidas. </x:t>
  </x:si>
  <x:si>
    <x:t xml:space="preserve">Acuífero centro norte de Quito</x:t>
  </x:si>
  <x:si>
    <x:t xml:space="preserve">Angélica Peñafiel, EPN, 2009</x:t>
  </x:si>
  <x:si>
    <x:t xml:space="preserve">Geología y análisis del recurso hídrico subterráneo de la subcuenca del sur de Quito</x:t>
  </x:si>
  <x:si>
    <x:t xml:space="preserve">La cuenca de Quito se ha formado a partir del Pleistoceno medio debido a la actividad del sistema de fallas inversas de Quito, cuya expresión morfológica constituyen las lomas: Calderón - Catequilla, Batán - La Bota e Ilumbisí - Puengasí (Villagómez, 2003). Este sistema presenta un componente transcurrente dextral que segmentaría la antiforma lumbisí - Puengasí en el sector de Guápulo y generaría una zona en extensión (pull - apart) en el sector de la quebrada Saguanchi. En la subcuenca del sur de Quito se han identificado tres unidades litológicas considerando su génesis y ambiente de depositación: Unidad de Basamento, Unidad Volcanosedimentaria Guamaní y Unidad Fluvio - Lacustre El Pintado que forman parte de la formación Machángara. La Unidad de Basamento subyace en discordancia erosiva a la Unidad Volcanosedimentaria Guamaní. Las unidades Fluvio - Lacustre El Pintado y Volcanosedimentaria Guamaní se halla en contacto transicional. La formación Cangahua sobreyace a estas unidades y se encuentra en discordancia erosiva con la Unidad Volcanosedimentaria Guamaní. La litología presente en la subcuenca permitió identificar en la cuenca del sur de Quito (desde la superficie hacia abajo): un acuitardo y los niveles acuíferos superior e inferior. El acuitardo corresponde a depósitos de la formación cangahua, su descarga ocurre principalmente hacia el río Machángara. El Nivel Acuífero Superior está formado por depósitos de las unidades volcanosedimentaria Guamaní y Fluvio - Lacustre El Pintado, es multicapa semiconfinado y su dirección de flujo es NNE - E. El Nivel Acuífero Inferior corresponde con depósitos de avalancha de escombros y es de tipo semiconfinado surgente. El modelo digital generado permitió validar los datos obtenidos en el balance hídrico, conductividades hidráulicas y espesores ponderados de los niveles acuíferos representados. La dureza y el contenido de hierro en el agua subterránea del sur de Quito se incrementan al aumentar la profundidad. Además, en el Nivel Acuífero Inferior el contenido de hierro aumenta de oeste a este, lo que sugiere que la interacción agua - roca en el valle del sur de Quito favorece el enriquecimiento en dicho elemento.</x:t>
  </x:si>
  <x:si>
    <x:t xml:space="preserve">Subcuenca sur de Quito</x:t>
  </x:si>
  <x:si>
    <x:t xml:space="preserve">Juan Sebastián Galeano, UISEK, 2016</x:t>
  </x:si>
  <x:si>
    <x:t xml:space="preserve">Perímetros de protección para las captaciones de agua subterránea influenciadas por la futura línea del Metro de Quito</x:t>
  </x:si>
  <x:si>
    <x:t xml:space="preserve"> Los acuíferos son considerados la principal fuente de abastecimiento en situaciones de emergencia para la ciudad de Quito, es por esto que su preservación representa uno de los principales objetivos de gestión para las autoridades del DMQ. Dependiendo de su ubicación geográfica, características hidrogeológicas y las actividades que se desempeñen en la zona, los acuíferos pueden tener diferentes niveles de vulnerabilidad, por lo que la presente investigación determinó en la franja del proyecto del Metro de Quito las zonas con mayor vulnerabilidad a la contaminación, la carga contaminante y los perímetros de protección para las captaciones de agua subterránea establecidas por la EPMAPS. Los resultados muestran que no existen zonas de peligro alto, no obstante, fuentes puntuales como las mecánicas y estaciones de servicio incrementan la vulnerabilidad en los sitios donde se encuentren; por otro lado, los perímetros de protección calculados permitieron concluir que los pozos de interés no cumplen con las características establecidas en las diferentes áreas delimitadas para su preservación, razón por la cual, el presente estudio plantea una propuesta para mejoras en los sistemas de captación.</x:t>
  </x:si>
  <x:si>
    <x:t xml:space="preserve">Captaciones agua subterránea ciudad e Quito</x:t>
  </x:si>
  <x:si>
    <x:t xml:space="preserve">Protección captaciones agua subterránea</x:t>
  </x:si>
  <x:si>
    <x:t xml:space="preserve">Ríos-Sánchez et al. 2012</x:t>
  </x:si>
  <x:si>
    <x:t xml:space="preserve">Hydrogeological characterization of the plateaus region of the Quito aquifer system using remote sensing, digital geomorphology and geophysics</x:t>
  </x:si>
  <x:si>
    <x:t xml:space="preserve">A partir del mapeo de lineamientos de la RS, complementado con el análisis morfológico y geofísico digital, se caracterizaron patrones de fracturamiento para la región de Mesetas del Sistema Acuífero de Quito (QAS). El acuífero está ubicado en el Valle Interandino Central de Ecuador, una región afectada por vulcanismo activo y fallas y caracterizada por cuencas llenas de series de depósitos volcánicos y rocas sedimentarias primarias y reelaboradas. Al combinar nuestros resultados con los de estudios geológicos y datos hidrogeológicos anteriores, se evaluó el impacto de la topografía y la fracturación en la hidrogeología de las mesetas.</x:t>
  </x:si>
  <x:si>
    <x:t xml:space="preserve">Sistema acuífero de Quito</x:t>
  </x:si>
  <x:si>
    <x:t xml:space="preserve">Cantidad de agua, geología</x:t>
  </x:si>
  <x:si>
    <x:t xml:space="preserve">Parreño et al. 2009</x:t>
  </x:si>
  <x:si>
    <x:t xml:space="preserve">Estudio Hidrogeológico y Modelación del Acuífero Centro-Norte Quito</x:t>
  </x:si>
  <x:si>
    <x:t xml:space="preserve">El acuifero de Quito esta constituido por dos subcuencas denominadas Sur y Centro-Norte. Por los requerimientos propios de la ciudad, la EMAAP-Q resolvio priorizar el estudio de la subcuenca Centro-Norte donde se realizaron la mayoria de las investigaciones recientes. A partir del ano 1991 en que entra en funcionamiento el Proyecto Papallacta, la EMAAP-Q dejo de bombear los pozos del acuifero de Quito, y por recarga natural, se ha producido el almacenamiento de grandes volumenes de agua subterranea provocando el ascenso de los niveles hasta cotas superficiales. Por ello se hace necesario su explotacion para contribuir al abastecimiento complementario de agua potable para el Distrito Metropolitano de Quito, con un caudal superior a 800 L·s-1; su aprovechamiento provocara descensos de los niveles freaticos, eliminando las afectaciones a los subsuelos de grandes edificaciones; y se constituira en una alternativa estrategica permanente de abasto de agua en caso de desastres naturales o cuando los otros sistemas dejen de operar por cualquier causa. Una vez recopilada y evaluada la informacion disponible se definieron los requerimientos para configurar las caracteristicas del Acuifero Centro-Norte y se planifico y ejecuto un programa de investigaciones.</x:t>
  </x:si>
  <x:si>
    <x:t xml:space="preserve">Charro, C. (2002), Universidad Internacional SEK</x:t>
  </x:si>
  <x:si>
    <x:t xml:space="preserve">Plan de manejo ambiental de la fase de construcción de la Presa Salve Faccha, dentro de la Reserva Cayambe-Coca (Tesis de grado)</x:t>
  </x:si>
  <x:si>
    <x:t xml:space="preserve">En el presente trabajo se describede forma general el proyecto de construcción de la Presa Salve Faccha, así como sus características técnicas principales; se presentan los resultados de las investigaciones que la EMAAP-Q ha venido realizando para poder elaborar una descripción completa y exclusiva de la zona que compromete las obras de construcción y futuro funcionamiento de la Presa. Se identifican los impactos ambientales que se han generado, así como los que se esperan que se generen hasta el término de las obras. La identificación se hace mediante una matriz causa - efecto. A cada impacto identificado se le otorga un valor de Importancia. Los impactos negativos y positivos que tras esta evaluación presenten valores significativos serán descritos. Se describe detalladamente el manejo ambiental que han llevado a cabo las empresas involucradas en la construcción de la Presa (COMTNTRAC, EMAAP-Q, Ministerio del Ambiente). Por último, se plantean las medidas que deben tomarse hasta la culminación de las obras y las medidas de restauración que se deben realizar después de finalizadas las obras de construcción de la Presa.</x:t>
  </x:si>
  <x:si>
    <x:t xml:space="preserve">Papallacta Integrado</x:t>
  </x:si>
  <x:si>
    <x:t xml:space="preserve">Plan de manejo ambiental</x:t>
  </x:si>
  <x:si>
    <x:t xml:space="preserve">Flores, G. (2014), Tesis de grado, SEK</x:t>
  </x:si>
  <x:si>
    <x:t xml:space="preserve">Indicadores de la gestión ambiental en las microcuencas aportantes a los sistemas de agua potable administrados por la EPMAPS</x:t>
  </x:si>
  <x:si>
    <x:t xml:space="preserve">El presente trabajo presenta una síntesis de la exploración a través de los diferentes elementos de la Gestión Ambiental en torno al aprovechamiento sostenible del recurso agua en el Distrito Metropolitano de Quito, DMQ, como son el marco legal, la institucionalidad, las políticas y la planificación. Resume las principales características de los sistemas de agua potable para Quito: Papallacta, La Mica, Pita, Centro y Noroccidente, así como de sus microcuencas de captación incluyendo sus problemas ambientales y sus causas. Finalmente, propone un conjunto estructurado de Indicadores Ambientales para la Empresa Pública Metropolitana de Agua Potable y Saneamiento EPMAPS, administradora de dichos sistemas.</x:t>
  </x:si>
  <x:si>
    <x:t xml:space="preserve">Todos los sistemas</x:t>
  </x:si>
  <x:si>
    <x:t xml:space="preserve">Papallacta Integrado, La Mica Quito Sur, Pita, Centro y Noroccidente</x:t>
  </x:si>
  <x:si>
    <x:t xml:space="preserve">Monitoring global change impacts on high andean ecosystem in Ecuador</x:t>
  </x:si>
  <x:si>
    <x:t xml:space="preserve">En los ecosistemas altoandinos el Cambio Climático (CC) se suma a las actividades humanas que amenazan su rica biodiversidad. Se espera que para el 2049 el CC disminuya la cobertura de páramo en un 30%, provocará alteración en los patrones estacionales, en las temperaturas medias y aumentará la frecuencia de eventos climáticos extremos. Estos factores afectarán la biodiversidad, provocando cambios en la distribución de las especies y, por tanto, cambios en la estructura y composición de las comunidades. Por lo tanto, necesitamos comprender la biología individual de cada especie y su respuesta a los cambios ambientales para poder evaluar su vulnerabilidad al CC. Este proyecto es parte de una iniciativa de monitoreo global a largo plazo que tiene como objetivo comprender los efectos del CC en los ecosistemas de alta montaña. Hemos estudiado los cambios de vegetación y la temperatura del suelo, en parcelas de control y en unidades sometidas a calentamiento pasivo experimental utilizando Open Top Chambers (OTC) durante cinco años, a 4850 m.s.n.m. Hubo una mayor rotación de especies y cambio de cobertura de especies dentro de las unidades con OTC que en las parcelas de control. Además, estas unidades mostraron una mayor productividad que las que no fueron sometidas al calentamiento experimental. Estos hallazgos respaldan el comportamiento previsto de los ecosistemas de alta montaña ante el CC.
</x:t>
  </x:si>
  <x:si>
    <x:t xml:space="preserve">Ecosistemas altoandinos</x:t>
  </x:si>
  <x:si>
    <x:t xml:space="preserve">Cambios en la biodiversidad por el cambio climático</x:t>
  </x:si>
  <x:si>
    <x:t xml:space="preserve">Identificación de las principales fuentes de agua que aportan a la generación de escorrentía en Zonas Andinas de páramo húmedo: mediante el uso de isótopos establaes deuterio y oxígeno-18. 3.
</x:t>
  </x:si>
  <x:si>
    <x:t xml:space="preserve">El análisis hidrológico de cuencas de páramo Andino actualmente se encuentra estancado debido a la limitada existencia de estudios sobre los procesos de generación de escorrentía. Para mejorar esta situación y proveer una línea base para futuros estudios hidrológicos, se realizó un análisis del fraccionamiento isotópico de deuterio (2H) y oxígeno-18 (18O) en muestras de agua recolectadas quincenalmente entre mayo del 2011 y marzo del 2012 en la cuenca de páramo húmedo del Río Zhurucay (7,97 km2), ubicada al sur del Ecuador, entre los 3200 y 3800 m s.n.m. Los puntos de monitoreo incluyen estaciones de lluvia, caudal, agua en el suelo, y manantiales. Los resultados revelan que el agua de pre-evento es la principal fuente de generación de escorrentía durante épocas lluviosas, siendo los Histosoles las principales fuentes de aporte a la descarga. Los Andosoles tienen como función principal la de regular el caudal y recargar los Histosoles durante condiciones normales principalmente debido a su posición en el paisaje (sobre los Histosoles). Por otra parte, durante condiciones secas los resultados sugieren que los Histosoles son la principal fuente de regulación de caudal. De la misma manera, no existen evidencias de aporte significativo de aguas subterráneas a la generación de caudal en la zona.</x:t>
  </x:si>
  <x:si>
    <x:t xml:space="preserve">Río Zhurucay sur del Ecuador</x:t>
  </x:si>
  <x:si>
    <x:t xml:space="preserve">Soria, 2016</x:t>
  </x:si>
  <x:si>
    <x:t xml:space="preserve">Evaluación de la Calidad Ecológica del río Jatunhuayco en la zona asociada a la Captación Jatunhuayco (EPMAPS) utilizando comunidades de macroinvertebrados como indicadores de la calidad del agua. [Pregrado, 
Escuela Politécnica Nacional]. http://bibdigital.epn.edu.ec/handle/15000/16736</x:t>
  </x:si>
  <x:si>
    <x:t xml:space="preserve">En este proyecto de investigación se realizó la evaluación ecológica del río Jatunhuayco alrededor de la captación Jatunhuayco perteneciente a la EPMAPS, con el fin de generar una línea base del estado de conservación del cuerpo de agua. La evaluación se realizó siguiendo el protocolo de Calidad Ecológica de Ríos Altoandinos – CERA, el cual integra información de la comunidad de macroinvertebrados (índice ABI) y la calidad ecológica mediante los índices de hábitat fluvial (IHF) y vegetación de ribera (QBR-And). La evaluación se realizó en 4 puntos ubicados antes y después de la captación, en dos temporadas de muestreo (Octubre–2015 y Enero–2016). Los resultados muestran que los puntos antes de la captación son de calidad ecológica “Regular”, caracterizados por una diversidad baja con organismos bentónicos dominantes (Chironomidae y Hyallelidae) y un hábitat fluvial con abundancia de macrófitas y sustrato fino. La vegetación de ribera no arbustiva presenta signos de alteración por efecto de la ganadería intensiva y quema de pajonal de años anteriores. Por el contrario, aguas abajo de la captación el paisaje es más complejo, con sustratos de mayor tamaño y pendiente más pronunciada. A pesar del descenso del caudal, se obtuvo una calidad ecológica “Buena” (mayor variabilidad y heterogeneidad de macroinvertebrados), pues se alberga un hábitat fluvial con variedad de sustratos y una vegetación de ribera arbustiva y sin alteraciones antrópicas.</x:t>
  </x:si>
  <x:si>
    <x:t xml:space="preserve">Captación Jatunhuaycu</x:t>
  </x:si>
  <x:si>
    <x:t xml:space="preserve">Calidad ecológica</x:t>
  </x:si>
  <x:si>
    <x:t xml:space="preserve">Zapata-Ríos 2017</x:t>
  </x:si>
  <x:si>
    <x:t xml:space="preserve">Biodiversity conservation, livelihoods, and climate change in the sourthern portion of Ecuador's upper Napo River Basin. Informe Ejecutivo, Wildlife Conservation Society, Quito - Ecuador, 18 p.</x:t>
  </x:si>
  <x:si>
    <x:t xml:space="preserve">Utiliza InVEST en la cuenca del río Napo (59500 km2), cuantifica la producción de agua en el periodo 2001-2009 y recrea posibles escenarios de producción de agua en el futuro usando proyecciones climáticas y de cambio de uso del suelo.</x:t>
  </x:si>
  <x:si>
    <x:t xml:space="preserve">Cuenca del río Napo</x:t>
  </x:si>
  <x:si>
    <x:t xml:space="preserve">Rosero Clavijo, 2018</x:t>
  </x:si>
  <x:si>
    <x:t xml:space="preserve">Análisis del servicio ecosistémico de producción de agua para la generación hidroeléctrica en la cuenca del río Coca mediante el uso del software InVEST como sustento para la gestión del recurso hídrico. Tesis de Pregrado, EPN.</x:t>
  </x:si>
  <x:si>
    <x:t xml:space="preserve">Utiliza InVEST en la cuenca del río Coca (4596.59 km2) para el periodo 1963-2015, concluye que recomiendo InVEST como una herramienta de gestión del recurso hídrico en comparación con SWAT (requerimiento de mayor cantidad de información y complejidad en el manejo).</x:t>
  </x:si>
  <x:si>
    <x:t xml:space="preserve">Cuenca del río Coca</x:t>
  </x:si>
  <x:si>
    <x:t xml:space="preserve">De Bievre, 2008</x:t>
  </x:si>
  <x:si>
    <x:t xml:space="preserve">Modelo Hidrológico de la Hoya de Quito. Proyecto
manejo integrado de los recursos hidricos en la hoya de quito, UICN- Sur, Quito- Ecuador. 39 p.</x:t>
  </x:si>
  <x:si>
    <x:t xml:space="preserve">En la zona de estudio se presentan tres tipos de pisos climáticos: El mesotérmico semihúmedo, entre 2.000 y 3.000 msnm con lluvias entre 500 a 2000 mm/año. El semiárido, con precipitaciones entre los 500 a 600 mm/año y el clima Ecuatorial de alta montaña, localizado sobre los 3000 msnm con precipitaciones entre los 800 a 1600 mm/año y con temperaturas entre los 4 y 8oC. En la zona mediay baja de la hoya de Quito, los meses de junio a septiembre son los más secos con precipitaciones de 7 mm/mes por lo cual la oferta hídrica es casi nula, todo esto sumado a que la cobertura vegetal se encuentra erosionada. Finalmente, se determinó que la cuenca del río Pita es la zona con mayor producción deagua debido a la gran cantidad de vegetación de páramo existente y a su localización cerca de glaciares.</x:t>
  </x:si>
  <x:si>
    <x:t xml:space="preserve">Hoya de Quito</x:t>
  </x:si>
  <x:si>
    <x:t xml:space="preserve">FONAG, 2014</x:t>
  </x:si>
  <x:si>
    <x:t xml:space="preserve">Disponibilidad de agua en la cuenca del río Guayllabamba y unidades hídricas orientales aportantes de agua para quito: Oyacachi, Chalpi Grande, Papallacta y Antisana. Informe ejecutivo, Fondo de la Protección del Agua,
Quito-Ecuador. 20 p.</x:t>
  </x:si>
  <x:si>
    <x:t xml:space="preserve">El FONAG cuenta con un modelo de simulación hidrológica mensual de tipo conceptual, semi-distribuido y determinístico (FONAG-CMC) como herramienta informática para evaluar la disponibilidad de agua y la evaluación de los impactos asociados al cambio climático. De este modo es posible ofrecer un análisis de la oferta y demanda, presente y para un futuro cercano (10-20 años), considerando especialmente la posibilidad de ocurrencia de estrés hídrico en distintas zonas .</x:t>
  </x:si>
  <x:si>
    <x:t xml:space="preserve">Papallacta Integrado y Mica</x:t>
  </x:si>
  <x:si>
    <x:t xml:space="preserve">Cuenca del río Guayllabamba</x:t>
  </x:si>
  <x:si>
    <x:t xml:space="preserve">Muñoz y Torres , 2103</x:t>
  </x:si>
  <x:si>
    <x:t xml:space="preserve">Actualización y automatización del modelo Hidrológico FONAG para la cuenca alta del rio Guayllabamba y microcuencas Oyacachi, Chalpi Grande, Papallacta y Antisana. Informe ejecutivo, FONAG-USAID-CMC, Quito-Ecuador. 63 p.</x:t>
  </x:si>
  <x:si>
    <x:t xml:space="preserve">Realizó un modelo de simulación hidrológica con el fin de determinar la disponibilidad de agua bajo ciertos escenarios de oferta y demanda presente y futura. Se debe considerar que en el cálculo de la disponibilidad del agua no se tomó en cuenta la calidad del recurso. En el trabajo se encontró que existen tramos de las cuencas Guayllabamba alto, Pisque, Pita, Oyacachi, Chalpi, Papallacta y Antisana con alto estrés hídrico; esto se da sobre todo en las zonas industriales, agrícolas y donde se realizan actividades de generación de energía hidroeléctrica.En cambio, en las cuencas Guayllabamba medio, Pita y San Pedro presentan estréshídrico ligero. Dentro de los escenarios analizados, el escenario futuro más pesimista se presenta en el caso de una disminución del 20% de la precipitación y aumento de la demanda en el cual se vería seriamente afectada la disponibilidad del recurso. En cambio, el escenario más optimista se da en el caso de un aumento del 20% de la precipitación, manteniendo la demanda actual, provocando una disminucióndel estrés hídrico en la cuenca Guayllabamba alto.</x:t>
  </x:si>
  <x:si>
    <x:t xml:space="preserve">Díaz C.S., 2018</x:t>
  </x:si>
  <x:si>
    <x:t xml:space="preserve">Evaluación de la precipitación mediante observaciones de la red meteorológica y productos satelitáles TMPAV7 E IMERGV3 en la zona de in uencia FONAG-EPMAPS. Tesis de pregrado, Escuela Politécnica Nacional. 250 pp</x:t>
  </x:si>
  <x:si>
    <x:t xml:space="preserve">Se analizaron datos observados de la red meteorológica y datos satelitales de los productos TMPA-v7 e IMERG-v3. Se generó una base de datos desde 1998 a 2016 y una agregación mensual. Se recopilaron datos de precipitación a nivel horario, diario y mensual de 131 estaciones pluviométricas y se validaron a nivel mensual. Para rellenar las series temporales incompletas se emplearon métodos temporales (Regresión Lineal Simple y Múltiple) y métodos espaciales (IDW, OK, Spline). Se generaron isoyetas de precipitación media mensual multianual y se evaluó cada método. El método de regresión lineal simple produce errores más bajos y correlación alta. El análisis espacio-temporal de la precipitación constituye el cálculo de métricas estadísticas, índices de detección, análisis de estructura espacial y fusión con productos satelitales mediante técnicas de corrección MBC, BC, DS y KED. En Antisana, Papallacta y Chalpi Grande hay mayores sesgos mientras que en Guayllabamba hay mayor concordancia entre los pluviómetros y productos satelitales. Finalmente se concluyó que DS produce menores sesgos y tiene una alta correlación.</x:t>
  </x:si>
  <x:si>
    <x:t xml:space="preserve">Área de influencia estaciones EPMAPS y FONAG</x:t>
  </x:si>
  <x:si>
    <x:t xml:space="preserve">Precipitación</x:t>
  </x:si>
  <x:si>
    <x:t xml:space="preserve">González Quilachamin, 2016</x:t>
  </x:si>
  <x:si>
    <x:t xml:space="preserve">Análisis de la oferta y la demanda de agua para la cuenca del Guayllabamba, bajo condiciones de sequía. Tesis de Pregrado. Escuela Politécnica Nacional, 184 pp.</x:t>
  </x:si>
  <x:si>
    <x:t xml:space="preserve">Presenta un modelo semi determinístico a través del software GRASS GIS 6.4 Open Source para el periodo 1970 a 2010 que combina un balance hídrico con un modelo de fusión glaciar, el mismo que permite determinar la oferta y demanda para la cuenca del río Guayllabamba con una resolución espacial de 100 m y una temporalidad mensual. Principalmente, evalúa el  comportamiento de la precipitación en el año más seco (2005) con la generación de dos escenarios en los cuales se ha modificado la cobertura vegetal (datos generados por Globcover Project (ENVISAT, 2010), y uso del suelo (MAGAP, 2014).
 </x:t>
  </x:si>
  <x:si>
    <x:t xml:space="preserve">Pouget et al. 2016</x:t>
  </x:si>
  <x:si>
    <x:t xml:space="preserve">Glacio-hydrological modelling and water resources management in the Ecuadorian Andes: the example of Quito. Hydrol Sci J.
doi, 10(02626667.2015):1131988.</x:t>
  </x:si>
  <x:si>
    <x:t xml:space="preserve">Se utilizó la herramienta WEAP21 y muestra una modelación hidroclimática semi-distribuida utilizando homogenización regional (método vectorial), modelado de glaciares de producción de agua y evolución interanual y modelado en unidades hidrológicas. Se presenta principalmente resultados de calibraciones hidrológicas mensuales (1963-2006), estudiando en particular, la equi nalidad de varios ajustes de parámetros. Mostrando la  exibilidad, solidez y limitaciones del modelado propuesto, contribuyendo a la identificación de incertidumbres para la evaluación de escenarios futuros. </x:t>
  </x:si>
  <x:si>
    <x:t xml:space="preserve">Cuenca del río Guayllabamba, Pita alto</x:t>
  </x:si>
  <x:si>
    <x:t xml:space="preserve">Orellana, 2015</x:t>
  </x:si>
  <x:si>
    <x:t xml:space="preserve">Escenarios Hidrológicos en la cuenca del río Guayllabamba: Modelación de caudales mínimos. Tesis de pregrado, Escuela Politécnica Nacional. 266 pp.</x:t>
  </x:si>
  <x:si>
    <x:t xml:space="preserve">Realiza la modelación de los caudales mínimos en la cuenca del río Guayllabamba durante el período 1981-2010 con el uso del software HEC-HMS 4.0. Se establecen cinco eventos y cinco escenarios de caudales mínimos obteniendo resultados de caudales.</x:t>
  </x:si>
  <x:si>
    <x:t xml:space="preserve">Proaño, 2010</x:t>
  </x:si>
  <x:si>
    <x:t xml:space="preserve">Modelación oferta - demanda de agua en cuencas desarrolladas - Cuenca Alta del Guayllabamba y cuencas de abastecimiento de agua para la ciudad de Quito, con ayuda de la herramienta WEAP (Tesis de pregrado). Escuela Politécnica Nacional, Quito, Ecuador.</x:t>
  </x:si>
  <x:si>
    <x:t xml:space="preserve">En este estudio se analiza la variabilidad en el espacio y tiempo de la respuesta hidrológica y del clima de la cuenca, examinando las circunstancias naturales y actividades antropogénicas. WEAP representa el riego mediante dos formas que son el método de la humedad de suelo y el método de solo demanda de irrigación. En el estudio el método de demanda de irrigación es el que mejor caracterizó el riego ya que cada subcuenca satisface su requerimiento hídrico durante todo el año pero utilizando solo en periodos de sequía similar a lo que se realiza en la realidad.</x:t>
  </x:si>
  <x:si>
    <x:t xml:space="preserve">Cuenca Alta del Guayllabamba y cuencas que abastecen a Quito</x:t>
  </x:si>
  <x:si>
    <x:t xml:space="preserve">Hydro-BID Case Study N 5: Impact of climate change on proposed water investments in Chalpi Basin, Ecuador. (#IDB-TN-1365). (Informe Técnico). Ecuador: Banco Interamericano de Desarrollo. 58p.</x:t>
  </x:si>
  <x:si>
    <x:t xml:space="preserve">Aplicación de HydroBID para la simulaciónde caudales y el análisis de los impactos del cambio climático en los flujos de la cuenca Chalpi Grande, zona es de interés para la EPMAPS para el desarrollo del "Proyecto Ríos Orientales"que busca la conducción de aguay satisfacer la demanda del servicio enla ciudad de Quito para 2040. En esteestudio se analizan dos escenarios. de cambio climático: el Escenario 1 del GCM Ensemble Average que asume un aumento del 14% de las precipitaciones y el Escenario 2 del GCM CNRM-CM3 considerando una disminuciónde 23% de las lluvias. La calibración de simulación de caudales en HydroBID se realizó para el periodo de 2007-2014 obteniéndose valores de eficiencias de Nash-Sutcliffe de 0.4, con los datos obtenidos se realizó una simulación hasta el año 2050, considerando un caudal diario promedio de 2.2 m3/s que sepropone para la construcción del proyecto. Los resultados de cambio climático obtenidos para los dos modelos superaron el caudal propuesto con un 88% y un 62% para el escenario 1 y 2 respectivamente. Sin embargo, esta oferta de agua puede variar ya que en el estudio no se consideran captaciones de agua en los afluentes aguas abajo ni cambios o eventos extremos en la zona.</x:t>
  </x:si>
  <x:si>
    <x:t xml:space="preserve">Cuenca del Chalpi</x:t>
  </x:si>
  <x:si>
    <x:t xml:space="preserve">Parra, 2020</x:t>
  </x:si>
  <x:si>
    <x:t xml:space="preserve">Análisis de la calidad de agua en las Áreas de Conservación Hídrica del Fonag para la evaluación de la eficacia de las estrategias de protección y conservación hídrica.</x:t>
  </x:si>
  <x:si>
    <x:t xml:space="preserve">El objetivo de la investigación es analizar la calidad del agua de las ACH Alto Pita, Antisana y Ponce Paluguillo para evaluar la eficacia de las estrategias de protección hídrica implementadas por el FONAG. En Alto Pita se realizó un análisis temporal (2014-2019) de la calidad de agua e integridad ecológica de cuatro ríos ubicados dentro del área de manejo. En Antisana se evaluaron dos ríos dentro del ACH y dos fuera del área del FONAG (sitios control). En Ponce Paluguillo se realizó un diagnóstico inicial de los parámetros evaluados en dos ríos dentro del ACH. En todos los sitios de estudio se analizaron parámetros físicos, químicos, biológicos y ecológicos. Los resultados del análisis global indican un incremento de la calidad del hábitat fluvial y zona ribereña en los ríos ubicados dentro de las ACH. El índice de calidad de agua (ICA) es mayor en los ríos manejados por el FONAG. Los índices EPT, ABI y ASPT-E calculados reflejan mejor calidad de agua en los sitios de manejo que en los de control. El estudio muestra la eficacia de las estrategias de protección hídrica implementadas por el FONAG. Se recomienda continuar con los programas de restauración y realizar monitoreos continuos para establecer tendencias temporales.</x:t>
  </x:si>
  <x:si>
    <x:t xml:space="preserve">Pita, Antisana y Paluguillo</x:t>
  </x:si>
  <x:si>
    <x:t xml:space="preserve">ACH Alto Pita, Antisana y Paluguillo</x:t>
  </x:si>
  <x:si>
    <x:t xml:space="preserve">Pesántez et al. 2018</x:t>
  </x:si>
  <x:si>
    <x:t xml:space="preserve">Effect of land cover and hydro-meteorological controls on soil water DOC concentrations in a high-elevation tropical environment. Hydrological Processes, 32(17), 2624–2635.</x:t>
  </x:si>
  <x:si>
    <x:t xml:space="preserve">Los suelos de páramo almacenan grandes cantidades de carbono orgánico. Sin embargo, los efectos del cambio climático y los cambios en la cobertura y uso del suelo (LC/LU) en este ecosistema tropical de gran altitud pueden causar una disminución en su capacidad de almacenamiento de carbono. Por lo tanto, se necesita urgentemente una mejor comprensión de los factores que influyen en el almacenamiento y la exportación de carbono de los suelos de páramo. Para llenar este vacío de conocimiento, investigamos las diferencias en el contenido de carbono orgánico disuelto (DOC) en el agua del suelo de cuatro tipos LC/LU (pasto cespitoso, bosque natural, plantaciones de pino y pastos) y los factores que controlan su variabilidad. Se monitorearon mediciones semanales de las concentraciones de DOC en el agua del suelo, variables meteorológicas, contenido de agua del suelo y temperatura desde varias profundidades y posiciones de pendiente dentro de los horizontes orgánicos y minerales de los suelos entre octubre de 2014 y enero de 2017. los bosques naturales representan las concentraciones más altas de DOC, seguidos de los pastos, las matas y los bosques de pinos. Para todos los tipos LC/LU, las concentraciones de DOC aumentan al disminuir la humedad del suelo. Nuestros resultados también muestran que LC/LU es el predictor más importante de las concentraciones de DOC en el agua del suelo, seguido de la profundidad del muestreo y la humedad del suelo. Curiosamente, las variables atmosféricas y las condiciones antecedentes de evapotranspiración y precipitación muestran poca influencia en las concentraciones de DOC durante el período de monitoreo. Nuestros hallazgos proporcionan información única que puede ayudar a mejorar la gestión de los recursos de suelo y agua en el Páramo y otros ecosistemas dominados por turba en otros lugares.
</x:t>
  </x:si>
  <x:si>
    <x:t xml:space="preserve">Zona de páramo</x:t>
  </x:si>
  <x:si>
    <x:t xml:space="preserve">Contenido de carbono en suelos de páramo</x:t>
  </x:si>
  <x:si>
    <x:t xml:space="preserve">Ribadeneira, 2020</x:t>
  </x:si>
  <x:si>
    <x:t xml:space="preserve">Medición de Carbono Orgánico Disuelto en humedales degradados. FONAG (Fondo para la Protección del Agua).</x:t>
  </x:si>
  <x:si>
    <x:t xml:space="preserve">Científicos de IKIAM compararán la dinámica espacial y temporal del transporte de DOC con dinámicas del uso del suelo y variables ecohidrológicas en cuatro turberas altoandinas alteradas. El Carbono Orgánico Disuelto (DOC por sus siglas en inglés) se usa frecuentemente como un indicador específico de calidad de agua. No obstante, en las turberas altoandinas del Ecuador, las dinámicas de DOC son poco conocidas.</x:t>
  </x:si>
  <x:si>
    <x:t xml:space="preserve">Cuatro turberas altoandinas</x:t>
  </x:si>
  <x:si>
    <x:t xml:space="preserve">Guerra Campoverde, 2020</x:t>
  </x:si>
  <x:si>
    <x:t xml:space="preserve">Desarrollo de un sistema de comunicaciones en la banda UHF y SHF para un vehículo aéreo no tripulado de ala fija para el monitoreo de los humedales Pugllohuma y Jatunhuaycu en las inmediaciones del volcán Antisana [Escuela Politécnica Nacional]. </x:t>
  </x:si>
  <x:si>
    <x:t xml:space="preserve">Este trabajo se enfoca en el diseño de sistemas de telecomunicaciones tales como: telemetría, radiocontrol y video analógico, aplicados a un UAV para el monitoreo y protección de recursos hídricos, concretamente de los humedales Pugllohuma y Jatunhuaycu en las inmediaciones del volcán Antisana. </x:t>
  </x:si>
  <x:si>
    <x:t xml:space="preserve">Humedales Pugllohuma y Jatunhuaycu</x:t>
  </x:si>
  <x:si>
    <x:t xml:space="preserve">Monitoreo de humedales con UAV</x:t>
  </x:si>
  <x:si>
    <x:t xml:space="preserve">Cabrera, Marcela, Gabriel M. Moulatlet, Bryan G. Valencia, Luis Maisincho, Rocío Rodríguez-Barroso, Gemma Albendín, Ayda Sakali, Oscar Lucas-Solis, Bruno 
Conicelli, and Mariana V. Capparelli. 2022. “Microplastics in a Tropical Andean Glacier: A Transportation Process across the Amazon Basin?” Science of the Total Environment 805: 150334. https://doi.org/10.1016/j.scitotenv.2021.150334.
</x:t>
  </x:si>
  <x:si>
    <x:t xml:space="preserve">Se encontró contaminación por microplásticos (MP) en un glaciar tropical en la Cordillera de los Andes (por encima de los 5000 m).  El poliuretano fue el tipo de polímero predominante, lo que descarta la posibilidad de que el MP se origine en la ropa y el equipo de escalada. La composición de la proporción isotópica y el análisis de la dirección del viento indican que las masas de aire que viajan sobre el Amazonas.  Es más probable que los MP en el glaciar Antisana sean transportados a través del Amazonas que desde las ciudades andinas.</x:t>
  </x:si>
  <x:si>
    <x:t xml:space="preserve">Glaciar Atnisana</x:t>
  </x:si>
  <x:si>
    <x:t xml:space="preserve">Contaminación con microplásticos</x:t>
  </x:si>
  <x:si>
    <x:t xml:space="preserve">Espinel, 2019</x:t>
  </x:si>
  <x:si>
    <x:t xml:space="preserve">Desarrollo de una metodología para la evaluación de saturación del humedal Pugllohuma mediante el uso de UAVS, EPN</x:t>
  </x:si>
  <x:si>
    <x:t xml:space="preserve">El presente estudio desarrolla una metodología para la evaluación de saturación del humedal Pugllohuma con un vehículo aéreo no tripulado de ala fija. Basada en la recolección de imágenes multiespectrales para la generación de mapas. Se obtiene un total de 2.950 imágenes a una resolución de 6cm/pixel a diferencia de las satelitales de 10m/pixel, que son útiles para el monitoreo de zonas alto andinas obteniendo un área total del humedal de 174.330 m2, con un área saturada de 86.168,49 m2 y para la creación de mapas temáticos de la zona, como son el de inundación y el de turbidez. Así también se valida la metodología con datos adquiridos en campo, realizando un mapa esquemático superponiendo el mapa de inundación con el mapa piezométrico identificando que el 49,42% del humedal se encuentra saturado.</x:t>
  </x:si>
  <x:si>
    <x:t xml:space="preserve">Monitoreo humedales con UAVAS: zona de saturación</x:t>
  </x:si>
  <x:si>
    <x:t xml:space="preserve">Palma, 2020</x:t>
  </x:si>
  <x:si>
    <x:t xml:space="preserve">Evaluación del estado del humedal Pugllohuma, perteneciente al Área de Conservación Hídrica Antisana (ACHA), mediante el análisis de índices espectrales de imágenes capturadas desde una aeronave no tripulada (UAV), EPN</x:t>
  </x:si>
  <x:si>
    <x:t xml:space="preserve">El presente proyecto propone una metodología de monitoreo para humedales altoandinos por medio de imágenes multiespectrales tomadas desde un dron. El humedal Pugllohuma, perteneciente al FONAG, fue seleccionado como zona piloto. La metodología se basa en el análisis de índices espectrales de vegetación y agua en conjunto con mapas topográficos y datos en campo. Concluyendo que, los índices NDVI y GCI definen con mayor exactitud el estado de la vegetación. Mientras que, los cuerpos de agua se evaluaron a partir de tres índices establecidos en el estudio y el NDWI; siendo el índice propuesto de [(Azul- Borde Rojo)/(Azul+ Borde Rojo)] cual presenta mejores resultados. Además, se estableció una zona de saturación de agua a partir del nivel freático, mapas topográficos e índices de agua.</x:t>
  </x:si>
  <x:si>
    <x:t xml:space="preserve">Monitoreo de humedales con UAV: índices espectrales de vegetación y agua</x:t>
  </x:si>
  <x:si>
    <x:t xml:space="preserve">Yugsi, 2018</x:t>
  </x:si>
  <x:si>
    <x:t xml:space="preserve">Caraceterización hidrogeológica con determinación de la conductividad hidráulica del humedal Pugllohuma. Mathematics Education Journal (Vol. 1, Número 1), Universidad Central del Ecuador.</x:t>
  </x:si>
  <x:si>
    <x:t xml:space="preserve">La presente investigación se realiza en el humedal “Pugllohuma” ubicado en la provincia de Napo – cantón Archidona dentro de la Reserva Hídrica Antisana, con el objetivo principal de determinar las características hidrogeológicas y la aproximación del volumen de almacenamiento de agua. Con la información hidrometeorológica, con el levantamiento y generación de información geológica específica del lugar, la ejecución in situ de ensayos de infiltración, tipo - doble anillo en el área del humedal y conductividad hidráulica saturada, tipo - método del pozo, derivado de ensayos LEFRAC en los 16 de 18 pozos existentes y el análisis químico del agua. Se obtiene una recarga potencial para el área de estudio de 25% de la precipitación anual; se determinó una unidad hidrogeológica con características de permeabilidad primaria media – baja, de aproximadamente 4 metros de espesor, compuesta por una capa de ceniza suprayacente a la capa de lahar establecida por columnas estratigráficas y una perforación de 5 metros, misma que se interpreta como la capa que contiene el agua subterránea, a partir del nivel freático de los pozos y los manantiales, mismos que se utilizaron para generar el mapa de isopiezas y un modelo hidrogeológico conceptual del cual se determinó la zona de recarga al NE y la zona de descarga al SW de humedal Pugllohuma. </x:t>
  </x:si>
  <x:si>
    <x:t xml:space="preserve">Características limnológicas de los embalses Alto Andinos. Revista Cubana de Química, 25(1), 26-31.</x:t>
  </x:si>
  <x:si>
    <x:t xml:space="preserve">Durante el período comprendido entre los años 2006 a 2010 se realizó este estudio en el embalse Salve Faccha junto con los embalses de La Mica, Mogotes y Sucus. El estudio tuvo el fin de conocer la calidad del agua y establecer el estado trófico de los embalses mediante los análisis físico-químicos y planctónicos. En el embalse Salve Faccha se realizaron 27 campañas de monitoreo. </x:t>
  </x:si>
  <x:si>
    <x:t xml:space="preserve">Embalse Salve Faccha, La Mica, Mogotes y Sucus</x:t>
  </x:si>
  <x:si>
    <x:t xml:space="preserve">Batimetrías para diferentes embalses de los sistemas Mica Quito-Sur y Papallacta Integrado del Distrito Metropolitano de Quito. Quito: EMAAP QUITO.</x:t>
  </x:si>
  <x:si>
    <x:t xml:space="preserve">Para la ejecución de la batimetría realizada en el año 2007 se inició con la definición del contorno efectuado con un levantamiento topográfico con estación total. Sobre el gráfico de contorno del embalse obtenido, se definió la malla de barrido del embalse, determinando así para ese levantamiento batimétrico, líneas paralelas de manera longitudinal y transversal del embalse. Se realizó el levantamiento de los transectos a una velocidad promedio de 2 m/s, realizando el recorrido con el ADCP (Perfilador Acústico de Corrientes Doppler) para el levantamiento batimétrico.Centra su estudio en el análisis de las características fisicoquímicas, biológicas y microbiológicas de los embalses Salve Faccha, Mica, Sucus y Mogotes, con el objetivo de conocer la distribución espacio temporal y su estado trófico. Los resultados de los análisis concluyeron que el nutriente limitante de los embalses Mica, Salve Faccha y Mogotes es el fósforo (P), mientras que para el embalse Sucus es el nitrógeno (N). Mediante los modelos del grado de trofía como son el índice de Carlson, valores límites OCDE y la curva de probabilidad del modelo matemático de Vollenweider y Kerekes, se obtuvo que los embalses Mogotes y Sucus tienen una probabilidad del 50% de características oligotróficas con tendencia a mesogróficas, a diferencia del embalse La Mica que presentó una probabilidad del 51% de características mesotrófica con tendencia a eutróficas.
</x:t>
  </x:si>
  <x:si>
    <x:t xml:space="preserve">Papallacta Integrado, Mica</x:t>
  </x:si>
  <x:si>
    <x:t xml:space="preserve">Batimetría</x:t>
  </x:si>
  <x:si>
    <x:t xml:space="preserve">Análisis en flujo permanente de los factores que inciden en la disminución de la capacidad hidráulica de la línea de conducción del sistema La Mica-Quito Sur, UCE, 257 p.</x:t>
  </x:si>
  <x:si>
    <x:t xml:space="preserve">El Sistema “La Mica Quito – Sur” dota de agua a la zona sur de Quito, en la actualidad transporta un caudal de 1560 l/s, menor a 1750 l/s para el cual fue diseñado, esta disminución se debe a factores que generan pérdidas de energía en la línea de conducción lo que disminuye su capacidad hidráulica. Para disponer de un modelo hidráulico actualizado, se realizó una intensa actividad. Se recopiló: planos y bases de datos del sistema, información que fue validada in situ. A continuación se construyó, calibró y validó el modelo hidráulico, obteniendo de su análisis las características hidráulicas actuales y los factores que influyen en la reducción de la capacidad hidráulica, los que se presentan en la conducción superior, resultados que permiten establecer que las pérdidas se dan por: un mínimo mantenimiento en las estructuras y válvulas, pérdida de carga local en la torre de captación del embalse, posible acumulación de sedimentos y una posible acumulación de aire en el sistema. Para establecer alternativas de solución se modelaron cinco escenarios que simularon condiciones críticas, óptimas y medias de operación del embalse para diferentes caudales transportados, con lo que se determinaron presiones negativas que impiden el transporte del caudal máximo de diseño. De su análisis se concluyó que las alternativas de solución más viables para que a través de la tubería de conducción se transporte 1750 l/s son: el mantenimiento del sistema complementado con la modificación del perfil de la línea de conducción; o la implementación de una booster en la abscisa 2+908 de la conducción superior, con altura de bombeo de 30 mca.</x:t>
  </x:si>
  <x:si>
    <x:t xml:space="preserve">Línea de conducción del sistema Mica Quito Sur</x:t>
  </x:si>
  <x:si>
    <x:t xml:space="preserve">Capacidad hidráulica y caudal</x:t>
  </x:si>
  <x:si>
    <x:t xml:space="preserve">Indicadores de la gestión ambiental en las microcuencas aportantes a los sistemas de agua potable administrados por
la Epmaps (Tesis Doctoral no publicada). Universidad Internacional SEK.</x:t>
  </x:si>
  <x:si>
    <x:t xml:space="preserve">Resume las principales características de los sistemas de agua potable para Quito: Papallacta, La Mica, Pita, Centro y Noroccidente, así como de sus microcuencas de captación incluyendo sus problemas ambientales y sus causas. Finalmente, propone un conjunto estructurado de Indicadores Ambientales para la Empresa Pública Metropolitana de Agua Potable y Saneamiento EPMAPS, administradora de dichos sistemas. </x:t>
  </x:si>
  <x:si>
    <x:t xml:space="preserve"> Papallacta, La Mica, Pita, Centro y Noroccidente</x:t>
  </x:si>
  <x:si>
    <x:t xml:space="preserve">Microcuencas aportantes al sistema de agua potable de Quito</x:t>
  </x:si>
  <x:si>
    <x:t xml:space="preserve">Indicadores Ambientales</x:t>
  </x:si>
  <x:si>
    <x:t xml:space="preserve">Desarrollo de un protocolo de micropropagación in vitro de Lupinus microphyllus como aporte a la restauración de suelos degradados en el páramo del Antisana</x:t>
  </x:si>
  <x:si>
    <x:t xml:space="preserve">El objetivo de esta investigación fue desarrollar un protocolo de micropropagación in vitro de Lupinus microphyllus, como aporte a la restauración de suelos degradados en el páramo del Antisana. Como tratamiento pregerminativo se escarificó las semillas con lo que su porcentaje de germinación aumentó al 100%. La desinfección de semillas se logró al tratarlas con hipoclorito de sodio al 1,3% y tiempo de inmersión de 1 minuto. Estas fueron colocadas en medio MS al 50% e incubadas por 15 días. Con este tratamiento el 100% de los explantes resultaron libres de contaminación y oxidación. Para la fase de multiplicación se logró el mayor porcentaje de aparición y número de nuevos brotes al utilizar un medio MS al 50% suplementado con 1,0 mg/L de BAP y 0,3 mg/L de IAA. Estos resultados se evidenciaron al cabo de 20 días de incubación. Finalmente se logró enraizar el 60% de explantes utilizados en medio MS al 50% junto con 0,5 mg/L de IAA y 0,5 g/L de carbón activado.</x:t>
  </x:si>
  <x:si>
    <x:t xml:space="preserve">Páramo del Antisana</x:t>
  </x:si>
  <x:si>
    <x:t xml:space="preserve">Monitoreo de contenidos y flujos de carbono en gradientes altitudinales Altoandinos</x:t>
  </x:si>
  <x:si>
    <x:t xml:space="preserve">El presente protocolo nace de la necesidad de mejorar el conocimiento sobre las dinámicas de los ecosistemas altoandinos y constituye una propuesta metodológica para el monitoreo de la dinámica de carbono. El protocolo incluye la cuantificación del contenido de carbono en los compartimentos más importantes de los ecosistemas de montaña, como también la cuantificación de flujos de carbono entre éstos. La naturaleza del protocolo es modular, es decir, que fácilmente puede incluir a futuro la medición de otras variables no incluidas en esta primera versión (e.g., flujo de carbono al suelo por descomposición de materia orgánica, productividad primaria neta, entre otros) sin necesidad de cambiar el diseño básico del muestreo. Además, se pueden incluir módulos que adapten el protocolo a otro tipo de gradientes (e.g., gradientes de uso del suelo).</x:t>
  </x:si>
  <x:si>
    <x:t xml:space="preserve">Sistemas de alta montaña</x:t>
  </x:si>
  <x:si>
    <x:t xml:space="preserve">TOTAL  ESTUDIOS REFERENCIADOS</x:t>
  </x:si>
  <x:si>
    <x:t xml:space="preserve">Otros investigaciones asociadas a las líneas prioritarias de ECAP en el ámbito del DMQ y el área de actuación de EPMAPS y FONAG</x:t>
  </x:si>
  <x:si>
    <x:t xml:space="preserve">Otros Investigaciones en el ámbito de estudio</x:t>
  </x:si>
  <x:si>
    <x:t xml:space="preserve">Peñafiel et al., 2021</x:t>
  </x:si>
  <x:si>
    <x:t xml:space="preserve">Usefulness of Compiled Geophysical Prospecting Surveys in Groundwater Research in the Metropolitan District of Quito in Northern Ecuador</x:t>
  </x:si>
  <x:si>
    <x:t xml:space="preserve">As in other large Andean cities, the population in the Metropolitan District of Quito (MDQ) in northern Ecuador is growing, and groundwater is becoming essential to meet the increasing urban water demand. Quito’s Public Water Supply Company (EPMAPS) is promoting groundwater research for sustainable water supply, and geophysical prospecting surveys are used to define aquifer geometry and certain transient groundwater features. official geotechnical research reports, and the scientific literature. Fifteen EPMAPS-promoted surveys used near-surface electrical techniques (seven used electrical resistivity tomography and eight used vertical electrical sounding) to explore Holocene and Pleistocene sedimentary and volcano-sedimentary formations in the 25–500-m prospecting depth range, some of which form shallow aquifers used for water supply. Four other surveys used near-surface seismic techniques (refraction microtremor) for geotechnical research in civil works. These surveys have been reinterpreted to define shallow aquifer geometry. Finally, four surveys compiled from the scientific literature used electromagnetic techniques (magnetotelluric sounding and other very low-frequency methods) to explore Holocene to late Pliocene formations, some of which form thick regional aquifers catalogued as the larger freshwater reservoirs in the MDQ. However, no geophysical prospecting surveys exploring the complete saturated thickness of the Pliocene aquifers could be compiled. Geophysical prospecting surveys with greater penetration depth are proposed to bridge this research gap, which prevents the accurate assessment of the renewable groundwater fraction of the regional aquifers in the MDQ that can be exploited sustainably.</x:t>
  </x:si>
  <x:si>
    <x:t xml:space="preserve"> 23 estudios de prospección geofísica representativos compilados del repositorio público de EPMAPS</x:t>
  </x:si>
  <x:si>
    <x:t xml:space="preserve">Senent-Aparicio_et_al. 2024</x:t>
  </x:si>
  <x:si>
    <x:t xml:space="preserve">Climate change impacts on renewable groundwater resources in the andosol-dominated Andean highlands, Ecuador</x:t>
  </x:si>
  <x:si>
    <x:t xml:space="preserve">Climate change, coupled with adaptive human actions, will affect water resource access and availability for environmental requirements. Hydrological modelling is an effective strategy for forecasting climate and human impacts on water resources. Modelling tools are advised for sparse-data mountainous basins intended to supply densely populated urban areas in the future. In this context, the SWAT model is used to evaluate the impact of climate change on renewable groundwater resources in the Pita River basin (PRB), a representative area of the andosol-dominated páramo ecosystem in the Andean highlands projected to meet future water demand in the metropolitan district of Quito (MDQ), Ecuador. Based on data availability, a SWAT model is configured for the PRB over the period 2006–2015 and five regional climate models (RCMs) based on two Representative Concentration Pathway (RCP) emission scenarios (4.5 and 8.5) for the mid- (2040–2069) and long-term (2070–2099) future horizons are implemented. Hydrological modelling demonstrates increases in average temperature and precipitation of + 2 °C and + 3 % in the mid-term and + 4.5 °C and + 20 % in the long term, respectively. All the RCMs indicate less aquifer recharge in the mid-term. However, this pattern is softened, and even reversed, in several scenarios in the long term. Seasonal differences in streamflow and aquifer recharge in the baseline scenario are predicted to increase to + 23 %. The natural hydrological regime determined by thick porous allophane-rich andosols over virtually full moderate-permeability volcanic and volcano-sedimentary aquifers induces high streamflow and low aquifer recharge rates. Future hydrological regime could place the highly sensitive soil–vegetation dynamics of the páramo ecosystem at risk of degradation, with negative consequences for habitat preservation, in general, and stream water provision, in particular. Hence, groundwater is the safest option for water provision in the future.</x:t>
  </x:si>
  <x:si>
    <x:t xml:space="preserve">Teresa Muñoz, 2016. Tesis de Maestría</x:t>
  </x:si>
  <x:si>
    <x:t xml:space="preserve">CONTRIBUTIONS OF GLACIER MELTING TO THE UPPER WATERSHED OF THE PITA RIVER, ECUADORWATERSHED OF THE PITA RIVER, ECUADOR</x:t>
  </x:si>
  <x:si>
    <x:t xml:space="preserve">Evidence suggests that a changing global climate is accelerating glacial retreat around the world. However, there are not many studies that help to understand the influence of climate change on glaciers in the tropical Andes. In many Andean countries, populations use the water that come from the high altitude mountains, especially mountains that are ice covered. Glacial reduction minimizes water resource availability. This report focuses on better understanding the relationship between glacier meltwater, surface water runoff, and the groundwater flowing into and under the Pita River upper watershed, which crosses the base of the northeast foothills of the Cotopaxi volcano. Available geospatial, meteorological, hydrogeological, and geochemical data were used in order to calculate the water balance, as well as to evaluate the chemical signature of the water sources for different creeks lakes and rivers into the study area. The results achieved in this work are the annual temperature is 8.41 ° C, whereas the annual rainfall is 1320 mm and the evapotranspiration is around 38-43% of the precipitation value. Hydrological conditions generated a water yield in the watershed of 17.9 l/s/km2. According to the relationship between area and discharge, for the Pita watershed with an area of 173 km 2 , the discharge corresponds to 3.1 m 3 /s. Thus, the Cotopaxi hillslope contributes 33% to the total yield, which is equivalent to 1021 l/s. The volume of the glacier retreat from 1996 to 2010 is 0.013 km 3 and is considered as part of the glacier meltwater contribution. Regarding to the isotopic signature, all the samples taken show a mixture signature between the two possible sources, which means that there is infiltration in the upper part of the watershed and discharge in the lower part of it. These results were ascertained in the context of current climatic conditions in a conceptual model that will be used to estimate how the glacial contributions might change as a result of future climate changes and the impacts of these changes on water supplies in this region.</x:t>
  </x:si>
  <x:si>
    <x:t xml:space="preserve">Lahuatte et al., 2022</x:t>
  </x:si>
  <x:si>
    <x:t xml:space="preserve">Delineation of water flow paths in a tropical Andean headwater catchment with deep soils and permeable bedrock</x:t>
  </x:si>
  <x:si>
    <x:t xml:space="preserve">Traditional hydrometric data combined with environmental tracers such as water stable isotopes contributes to improve the understanding of catchment hydrology. Nevertheless, the application of isotopic tracers in headwater catchments of the tropical Andes with deep soils and permeable parent material influenced by recent volcanism remains limited. In this study, the stable isotopic composition of precipitation, soil water, wetlands, and streamflow was studied to provide insights into the hydrology of a small tropical Andean catchment with deep and permeable volcanic soils, ash layers, and fractured bedrock resulting from Holocene volcanic activity. Although local precipitation forms under isotopic equilibrium conditions, the stable isotopic composition of precipitation is influenced by atmospheric moisture recycling processes. The spatial and temporal variability of isotopic signals and the analysis of inverse transit time proxies (ITTPs) of surface (streamflow) and subsurface (soil and wetlands) waters indicate that vertical flow paths through the deep volcanic ash soils are dominant across the catchment. The strongly damped isotopic composition of these waters points to high soil and wetlands water storage, increasing the transit time or age of stream water in the hydrological system. These findings indicate that water mobilizing through subsurface flow paths–that is, volcanic soils, ash layers, and cracks in the fractured bedrock resulting from Holocene volcanism–is the main contributor to streamflow generation. Comparison with previously published work from Andean catchments and other volcanic areas shows the diversity of hydrological conditions that can be found as a result of pedological and lithological differences shaped by volcanic activity. Therefore, site-specific strategies may be needed to improve water resources management.</x:t>
  </x:si>
  <x:si>
    <x:t xml:space="preserve">Moreda et al., 2017</x:t>
  </x:si>
  <x:si>
    <x:t xml:space="preserve">Hydro-BID Case Study No. 5: Impact of Climate Change on Proposed Water Investments in Chalpi Basin, Ecuador</x:t>
  </x:si>
  <x:si>
    <x:t xml:space="preserve">This case study analyzes the potential effect of changes in average precipitation and temperature on streamflow, especially as it may affect proposed water investment infrastructure projects, in the Chalpi River Basin, Ecuador. Empresa Publica Metropolitana de Agua Potable y Saneamiento de Quito (EPMAPS, the Quito Metropolitan Public Water and Sanitation Company) is planning the Proyectos Rios Orientales (PRO, Oriental River Projects), a major infrastructure program to meet Quito’s future water needs. As part of the PRO, the Ramal Chalpi Grande Papallacta project will establish water intake points in the Chalpi Basin. EPMAPS began installing flow gages in the basin in 1997. EPMAPS requested assistance to develop a hydrologic model for the basin using recent flow data and to simulate future flows to the year 2050, under the influence of projected changes in climate. EPMAPS will use results from this effort to evaluate whether changes in climate are likely to significantly reduce future flows at the proposed intake points.</x:t>
  </x:si>
  <x:si>
    <x:t xml:space="preserve">Minaya et al., 2023</x:t>
  </x:si>
  <x:si>
    <x:t xml:space="preserve">Runoff generation from a combined glacier and páramo catchment within the Antisana Reserve in Ecuador</x:t>
  </x:si>
  <x:si>
    <x:t xml:space="preserve">Runoff processes in glacier and páramo catchments in the Andean region are of interest as they are vitally important to serve the water needs of surrounding communities. Particularly in Northern Ecuador, the runoff processes are less well-known due to the high variability of precipitation, young volcanic ash soil properties, soil moisture dynamics and other local factors. Previous studies have shown that the melting of glaciers contributes to runoff generation and that the páramo ecosystem plays an important role in regulating runoff during periods of low precipitation. Data collection and experimental investigations were carried out in a catchment of 15.2 km2 and altitude ranging between 4000 and 5700 m above sea level. Environmental tracers and hydrochemical catchment characterization were used for identifying runoff sources and their respective contributions during dry and wet conditions. Dry conditions are defined as periods where precipitation was absent for at least three consecutive days and wet conditions imply rainfall events. This study highlights the importance of the páramo on contributing to total runoff during baseflow (70% of total runoff) and the capacity of the páramo to dissipate the stream energy and buffer the peak flow during rainfall conditions. Electrical conductivity together with stable isotopes were identified as conservative tracers that characterize the end-member concentrations.</x:t>
  </x:si>
  <x:si>
    <x:t xml:space="preserve">Mica</x:t>
  </x:si>
  <x:si>
    <x:t xml:space="preserve">Minaya et al., 2016</x:t>
  </x:si>
  <x:si>
    <x:t xml:space="preserve">Quantification of runoff generation from a combined glacier and páramo catchment within an Ecological Reserve in the Ecuadorian highlands </x:t>
  </x:si>
  <x:si>
    <x:t xml:space="preserve"> Hydrological processes in combined glacier and páramo catchments are vitally important to serve the water needs of communities in the surrounding areas. Previous studies have shown that the melting of glaciers contributes to runoff generation and that the páramo ecosystem acts as a natural sponge, which plays an important role in regulating the runoff during the dry-season. However, not all runoff processes are well-understood in the Andean region due to the high spatial variability of precipitation, young volcanic ash soil properties, soil moisture dynamics and other local factors such as vegetation interception and high radiation that might influence the hydrological behaviour. In addition, there is a lack of evidence of the origin and quantification of the contribution of runoff components in the páramo ecosystem. This study focuses on data collection and experimental investigations in a small catchment (15.2 km2) within an ecological reserve in the Ecuadorian Andean region. The approach consists of the identification of suitable environmental tracers and hydrochemical features to identify the various runoff sources in order to determine their respective contribution during dry and wet conditions. The results show the great importance of the páramo on the contribution to total runoff during baseflow and rainfall conditions.</x:t>
  </x:si>
  <x:si>
    <x:t xml:space="preserve">Cuenca Crespos-Humbolt</x:t>
  </x:si>
  <x:si>
    <x:t xml:space="preserve">González-Zeas et al., 2019</x:t>
  </x:si>
  <x:si>
    <x:t xml:space="preserve">Linking global climate change to local water availability: Limitations and prospects for a tropical mountain watershed</x:t>
  </x:si>
  <x:si>
    <x:t xml:space="preserve">Bridging the gap between the predictions of coarse-scale climate models and the fine-scale climatic reality is a key issue of hydrological research and water management. While many advances have been realized in developed countries, the situation is contrastingly different in most tropical regions where we still lack information on potential discrepancies between measured and modeled climatic conditions. Consequently, water managers in these regions often rely on non-academic expertise to help them plan their future strategies. This issue is particularly alarming in tropical mountainous areas where water demand is increasing rapidly and climate change is expected to have severe impacts. In this article, we addressed this issue by evaluating the limitations and prospects in using regional climate models for evaluating the impact of climate change on water availability in a watershed that provides Quito, the capital of Ecuador, with about 30% of its current water needs. In particular, we quantified the temporal and spatial discrepancies between predicted and observed precipitation and temperature, and explored underlying mechanisms at play. Our results provide a strong critique of the inappropriate use of regional models to inform water planning with regard to adaptation strategies to face climate change. As a multidisciplinary group composed of hydrologists, ecologists and water managers, we then propose a framework to guide future climate change impact studies in tropical mountain watersheds where hydro-climatological data are scarce.</x:t>
  </x:si>
  <x:si>
    <x:t xml:space="preserve">Rosero-López et al., 2019</x:t>
  </x:si>
  <x:si>
    <x:t xml:space="preserve">Streamlined eco‐engineering approach helps define environmental flows for tropical Andean headwaters</x:t>
  </x:si>
  <x:si>
    <x:t xml:space="preserve">1. Applying the environmental flows concept to human‐altered lotic ecosystems continues to face many practical challenges and barriers. Here, we modify a previously proposed framework, the Eco‐Engineering Decision Scaling, for application to part of the water supply system of Quito, Ecuador.
2. Specifically, we used feedback from engineers and water managers to develop a common set of metrics for defining flow‐ecology relationships and assess managed‐flow impacts on stream ecology. At 12 sites over 3 years, we collected flow and benthic invertebrate data (taxonomic richness, taxa important for fish, functional feeding groups, and water quality‐sensitive taxa) during wet and dry seasons. We then used these data to identify flow thresholds (relative to unmanaged flows) where flow withdrawal caused visible ecological impacts.
3. For this system, reduction of flow to 20% of the annual median was detrimental to benthic communities, while reductions to 40% of the annual median flow caused a variety of responses in the system. A trade‐off analysis of weighted metrics showed that a 50% benthic fauna richness could be sustained if dry season flows were maintained between 28% and 40% of the unmanaged median annual flow. This study provides a roadmap for bridging between eco‐engineering theoretical frameworks and the adoption of the environmental flows concept as actionable management thresholds.</x:t>
  </x:si>
  <x:si>
    <x:t xml:space="preserve">Chalpi Grande</x:t>
  </x:si>
  <x:si>
    <x:t xml:space="preserve">Manosalvas et al., 2023</x:t>
  </x:si>
  <x:si>
    <x:t xml:space="preserve">Imaginaries of place in territorialization processes: Transforming the Oyacachi páramos through nature conservation and water transfers in the Ecuadorian highlands</x:t>
  </x:si>
  <x:si>
    <x:t xml:space="preserve">How Ecuadorian páramos are perceived has drastically changed over the last five decades. From cold, hostile, and unproductive hinterlands, páramos have changed to become areas for biodiversity conservation and ‘water towers’ that ought to be protected to provide clean and abundant water for cities and irrigation. To understand how these changing perceptions of páramos relate to interventions and their on-the-ground negotiation by local communities, we develop the notion of imaginaries of place and explore its relations to notions of governmentality and territorialization. We show how, based on changing imaginaries of what páramos are, state and non-state interventions have tried to control the Oyacachi páramos in the Northern Ecuadorian Highlands for the specific purpose of nature and water conservation. At the same time, we show that these interventions are highly contested on-the-ground. This leads to confrontations, negotiations, and a re-definition of the imaginaries of place there exist. Our analysis expounds the relevance of understanding imaginaries of place and its close relations to interventions and their negotiation.</x:t>
  </x:si>
  <x:si>
    <x:t xml:space="preserve">Cauvy-Fraunié, 2014</x:t>
  </x:si>
  <x:si>
    <x:t xml:space="preserve">Hydroecology of invertebrate communities in equatorial
glacier-fed streams</x:t>
  </x:si>
  <x:si>
    <x:t xml:space="preserve">Frente al cambio climático, las especies de agua dulce en las cuencas glaciares se enfrentan a modificaciones del caudal glaciar relacionado con la aceleración del retroceso glaciar. El objetivo de esta tesis es evaluar la contribución de las aguas glaciares en la organización de las comunidades de organismos acuáticos en ríos alpinos de una cuenca glaciar en los Andes tropicales (Antisana, Ecuador). Para esto, a diferentes escalas espaciales y temporales, cuantificamos la influencia glaciar, determinamos sus efectos sobre las comunidades de macroinvertebrados acuáticos y anticipamos las posibles consecuencias del retroceso glaciar sobre la biodiversidad acuática. En base a nuestros resultados, esperamos que en un escenario futuro de calentamiento global, la reducción del caudal glaciar disminuya el estrés hídrico y la dureza dentro de los ríos
glaciares así como la heterogeneidad ambiental espacial y temporal dentro de la cuenca. Esos cambios probablemente reducirían tanto el filtro ambiental y la limitación de la dispersión acuática, permitiendo a las especies más generalistas no adaptadas a la dureza de las aguas glaciares colonizar y establecerse a través de toda la cuenca. Suponemos entonces que el retroceso glaciar generará la extinción de especies especializadas adaptadas a los ríos glaciares (pérdida de α-diversidad) y una homogeneización taxonómica de la fauna acuática dentro de la cuenca (disminución de 􀈕-diversidad espacial y temporal), resultando en una reducción irreversible de la diversidad regional.</x:t>
  </x:si>
  <x:si>
    <x:t xml:space="preserve">Invertebrate response to impacts of water diversion and flow regulation in high‐altitude tropical streams</x:t>
  </x:si>
  <x:si>
    <x:t xml:space="preserve">Water supply systems are critical infrastructure that provides food and energy security for developed societies. The operation of reservoirs (flow regulation) and water intakes (water diversion) has known negative impacts on aquatic ecosystems; however, quantification of ecological impacts and examination of these two types of flow alteration remain a developing area of research. We investigated the individual and combined impact of flow regulation and water diversion on stream ecosystem integrity, the freshwater macroinvertebrate community, and the population structure of flow-sensitive insects. For 2 years, we monitored quarterly discharge, physical and chemical stream conditions, and benthic invertebrates of four high-altitude tropical streams that are part of the water supply system of Quito, Ecuador. Flow regulation caused a loss of the hydrological seasonality of these streams, including a decrease in stream depth and biotic quality. Water diversion caused a decrease in dissolved oxygen and overall ecosystem integrity. Freshwater invertebrate density and richness decreased as a result of water diversion and flow regulation. The combined flow alteration in these streams decreased the density of nymphal stages of the widely distributed mayfly Andesiops peruvianus. Given the societal needs for food and energy security, water management for diversion (e.g., irrigation) and in-line storage practices (e.g., hydroelectric dams) are anticipated to increase. This research suggests that the negative environmental impacts of flow alteration could be mitigated with discharge releases designed to approximate the natural hydrologic regime of undisturbed streams.</x:t>
  </x:si>
  <x:si>
    <x:t xml:space="preserve">Páez-Bimos et al., 2022</x:t>
  </x:si>
  <x:si>
    <x:t xml:space="preserve">Vegetation effects on soil pore structure and hydraulic properties in volcanic ash soils of the high Andes</x:t>
  </x:si>
  <x:si>
    <x:t xml:space="preserve">Soil hydraulic properties control the provision of hydrological services. Vegetation and topography influence these properties by altering soil structure and porosity. The underlying mechanisms are not yet fully understood for the high Andean region. In this study, we examined how vegetation and topographic attributes are related to soil hydraulic properties and soil pore structure in young volcanic ash soils, and further correlated them to soil texture, organic carbon, and root characteristics to explain these relationships. In a 0.7 km2 study site located in the Andean páramo of northern Ecuador, we measured soil water retention, saturated hydraulic conductivity, bulk density (BD), and pore size distribution parameters on eight soil profiles with contrasting vegetation types (cushion-forming plants vs. tussock grasses) and topographic positions (summit vs. hillslope). We observed significant differences in soil hydraulic properties and soil pore structure in the uppermost horizons by vegetation type, whereas topography had a minor effect. In the A horizons, we found higher water retention at saturation and field capacity (10%–14%), higher total available water (8%–15%), and higher saturated hydraulic conductivity (4–12 times) under cushion-forming plants compared to tussock grasses. The elevated values under cushion plants were attributed to the presence of larger pores, lower soil BD, and higher soil organic carbon content as a result of coarser root systems. Total available water was generally high (0.34–0.40 cm3 cm−3), and locally not associated with any soil property. The higher water retention in soils under cushion vegetation can enhance soil water storage for plants and the regulation of water flows during prolonged rainfall events. The saturated hydraulic conductivity of the surface horizons is high compared to rainfall intensities resulting in high infiltration capacity; whilst its decline with depth reveals the potential for generation of subsurface stormflow, especially below cushion-forming plants. Our findings highlight that soil hydraulic properties differ among vegetation types, and show the significance of vegetation types for soil hydrology.</x:t>
  </x:si>
  <x:si>
    <x:t xml:space="preserve">Cuenca Jatunhuayco</x:t>
  </x:si>
  <x:si>
    <x:t xml:space="preserve">Grubb et al., 2020</x:t>
  </x:si>
  <x:si>
    <x:t xml:space="preserve">A historical baseline study of the páramo of Antisana in the Ecuadorian Andes including the impacts of burning, grazing and trampling</x:t>
  </x:si>
  <x:si>
    <x:t xml:space="preserve">Background: We report the vegetation at 4050–4600 m in 1960 on the western slopes of Antisana, Ecuador, decades before burning and grazing were prohibited.
Aim: To provide a baseline against which new surveys could be compared to evaluate conservation efforts. 
Methods: We (a) ordinated grassland types and derived communities using constancy values of species in typical stands, (b) recorded evidence of community dynamics, (c) recorded the composition of communities occupying smaller areas than the grassy páramo, and (d) recorded inhibition and facilitation of other species by Azorella cushions. 
Results: Short-turf grassland had replaced much tall-tussock grassland as a result of grazing and burning. Intense trampling had resulted in dominance by an introduced annual grass. Disturbance of most tall-tussock grassland on lava flows had left gaps made by fire or rabbit scratching; these were invaded by distinctive sets of species. Azonal communities, changed much less by humans, contained 63% of 155 native species of vascular plant encountered, and 68% of 65 mosses. Younger cushions of Azorella impacted negatively on associated species but older cushions had facilitative effects.
Conclusions: Our study provides an adequate record against which to determine the extent and nature of changes in the vegetation since farming of livestock ceased.</x:t>
  </x:si>
  <x:si>
    <x:t xml:space="preserve">Rosero-López et al., 2022</x:t>
  </x:si>
  <x:si>
    <x:t xml:space="preserve">A whole-ecosystem experiment reveals flow-induced shifts in a stream community</x:t>
  </x:si>
  <x:si>
    <x:t xml:space="preserve">The growing threat of abrupt and irreversible changes to the functioning of freshwater ecosystems compels robust measures of tipping point thresholds. To determine benthic cyanobacteria regime shifts in a potable water supply system in the tropical Andes, we conducted a whole ecosystem-scale experiment in which we systematically diverted 20 to 90% of streamflow and measured ecological responses. Benthic cyanobacteria greatly increased with a 60% flow reduction and this tipping point was related to water temperature and nitrate concentration increases, both known to boost algal productivity. We supplemented our experiment with a regional survey collecting &gt; 1450 flow-benthic algal measurements at streams varying in water abstraction levels. We confirmed the tipping point flow value, albeit at a slightly lower threshold (40-50%). A global literature review broadly confirmed our results with a mean tipping point at 58% of flow reduction. Our study provides robust in situ demonstrations of regime shift thresholds in running waters with potentially strong implications for environmental flows management.</x:t>
  </x:si>
  <x:si>
    <x:t xml:space="preserve">Salcedo et al., 2018</x:t>
  </x:si>
  <x:si>
    <x:t xml:space="preserve">
Landslide susceptibility mapping using fuzzy logic and multi-criteria evaluation1
techniques in the city of Quito, Ecuador</x:t>
  </x:si>
  <x:si>
    <x:t xml:space="preserve">Landslides are the most recurrent natural hazards in the Metropolitan District of Quito (DMQ), affecting sometimes lives but extremely frequently and severely the traffic and associated infrastructure. The present research proposes the calculation of the landslide susceptibility cartographic model in the city of Quito and its main highway, the Simón Bolívar avenue, using the Fuzzy logic and multicriteria evaluation techniques in geographic information systems (GIS). Based on the "Today and the past son key to the future" principle, landslides have been located using aerial photographs and field work. Based on the characteristics of historical landslides, photointerpreted and previous studies, the causal factors have been variable such as topography, structural geology, lithology, precipitation, water network, vegetation cover, among others. Each factor has been processed, analyzed and standardized according to its relationship to the occurrence of landslides, by means of a sinusoidal linked function that assigns to each element a degree of correlation [0, 1] to the diffuse set. The landslide vulnerability map has been obtained from the combination of causal factors by map algebra, such as weighting techniques that include the hierarchical analysis process (HAP) and the weighted linear line (WLL), whose validation considered the locations of inventoried landslides. According to the susceptibility map, 5 % of the direct study area has critical, 19 % high, 58 % average and 18 % low sensitivity. The quality of the results has been validated according to their standard error and adjustment value, being 0.216 and 78.4 %, respectively.</x:t>
  </x:si>
  <x:si>
    <x:t xml:space="preserve">Rosero-López et al., 2020</x:t>
  </x:si>
  <x:si>
    <x:t xml:space="preserve">Design of a paired-weir system for experimental manipulation of environmental flows in streams</x:t>
  </x:si>
  <x:si>
    <x:t xml:space="preserve">Controlled in-stream flow manipulations are challenging but necessary to implement to assess the consequences of real-world flow alterations on aquatic ecosystems. We designed a double v-notch weir system, which was first prototype-tested in a laboratory flume and then in the field. The device diverted instantaneous flows proportionally in a robust way (e.g., 10% of flow in the stream main channel and 90% of flow into the diversion channel). We tested diversions systematically and evaluated how well flows matched our target flowpercentages. This is one of the first ecohydraulic structures designed and tested to experimentally manipulate environmental flows in small upland streams.</x:t>
  </x:si>
  <x:si>
    <x:t xml:space="preserve">Rosero-López et al., 2021</x:t>
  </x:si>
  <x:si>
    <x:t xml:space="preserve">Standardization of instantaneous fluoroprobe measurements of benthic algal biomass and composition in streams</x:t>
  </x:si>
  <x:si>
    <x:t xml:space="preserve">Fluoroprobes, such as BenthoTorch, offer a relatively rapid in situ method for monitoring benthic algae, provide new opportunities for aquatic ecological research, and enable early warning of algal proliferation in municipal water supplies. Currently, however, BenthoTorch is limited for the measurement of heterogeneous samples, and homogenizing samples is rather difficult. In this study, we compared chlorophyll-a (Chl-a) measurements between BenthoTorch and standard laboratory methods to quantify and describe the biomass and biovolume proportion of benthic algae growing on artificial and natural substrates. We used the difference in Chl-a measurements
between these methods (n = 359) to evaluate the effects of environmental variables. Moreover, we used artificial and natural substrates to determine whether either of them reduced variation in BenthoTorch measurements. There was a general concordance in measurements between the two methods, but this agreement was stronger for artificial substrates. Artificial substrates also led to significantly less variation in BenthoTorch readings compared with natural substrates. This may be attributed to the formation of relatively thin algal mats on artificial substrates. To enable early warning of algal proliferation in an aquatic ecosystem, we recommend the use of BenthoTorch and artificial substrates combined with appropriate calibration using standard laboratory methods. The ability of BenthoTorch to produce instantaneous results facilitates replicate collection, which reduces sampling error and increases sampling area on the same day. Despite substantial variation in readings on natural substrates, BenthoTorch enables relatively rapid measurements, facilitating easy monitoring of large areas. Therefore, BenthoTorch may be worth incorporating into aquatic ecosystem studies, depending on the specific research questions.</x:t>
  </x:si>
  <x:si>
    <x:t xml:space="preserve">González-Zeas et al., 2023</x:t>
  </x:si>
  <x:si>
    <x:t xml:space="preserve">Making thirsty cities sustainable: A nexus approach for water provisioning in Quito, Ecuador</x:t>
  </x:si>
  <x:si>
    <x:t xml:space="preserve">In view of accelerated climate change and urban demographics, balancing human and ecosystem needs for water resources is a critical environmental challenge of global significance. Since water, agriculture, health, and energy are inextricably linked, sustainable development goals (SDGs) actions in one policy area commonly have impacts on the others, as well as on the ecosystems that natural resources and human activities ultimately depend upon. Managing urban water supply systems therefore requires a nexus approach that integrates goals across sectors, reduces the risk that SDG actions will undermine one another, and ensures sustainable resource use. We developed a transdisciplinary methodological framework based on a Pareto frontier analysis to define the sustainable solutions of a multi-objective optimization among four competing criteria, water provision, water quality, energy cost, and biodiversity conservation. The study was applied to three mountainous headwater basins in the Ecuadorian Andes, which provide around 30% of Quito’s total water supply. We found that an optimized management of water intake structures would meet current consumption needs while reducing the probability of emergence of water pathogens and limiting the impact on aquatic biodiversity by 30% and 9% respectively, without any increase in energy costs for pumping water from other sources. Nonetheless, under future scenarios of climate change and water demand, higher energy consumption, and therefore an increase in operating costs, would be needed to meet urban demand and preserve environmental conditions. Overall, the range of Pareto optimal water supply strategies across the water-health-energy-biodiversity nexus provides valuable information for decision makers and offers support for achieving sustainable management of water resources.</x:t>
  </x:si>
  <x:si>
    <x:t xml:space="preserve">Cuencas Oyacachi, Papallacta, Chalpi Grnade</x:t>
  </x:si>
  <x:si>
    <x:t xml:space="preserve">Altitudinal analysis of carbon stocks in the Antisana páramo,
Ecuadorian Andes</x:t>
  </x:si>
  <x:si>
    <x:t xml:space="preserve">The importance of quantifying carbon stocks in terrestrial ecosystems is crucial for determining climate change dynamics. However, the present regional assessments of carbon stocks in tropical grasslands are extrapolated to unsampled areas with a high degree of uncertainty and without considering the carbon and nitrogen composition of vegetation and soil along altitudinal ranges. this study aims to assess carbon and nitrogen concentrations in soil and vegetation, aboveground carbon stocks distribution and soil organic carbon stocks along an altitudinal range in the páramo region in the Ecuadorian Andes. the vegetation inventory was conducted using 15 × 15 m sampling plots distributed in three altitudinal ranges. Based on the patterns exhibited by the dominant vegetation growth forms, biomass and soil were sampled to quantify the corresponding carbon and nitrogen concentrations. Subsequently, the aboveground live biomass along the páramo altitudinal range was estimated using allometric equations. Finally, soil and vegetation carbon stocks were estimated for the entire basin. Altitudinal analysis supported a potential distribution of carbon and nitrogen concentrations in soil, litter and live tissues, where higher concentrations were found in the low altitudinal range mainly for tussocks and acaulescent rosettes. cellulose in litter showed higher concentrations at low altitudinal ranges for acaulescent rosettes and cushions only. For the same growth forms, lignin patterns in litter were higher in high altitudinal ranges. Soil texture provided complementary information: high percentage of silt was highly correlated to high soil nitrogen and carbon concentration. tussocks were found to be responsive to altitude with their, highest aboveground carbon stocks occurring at the low altitudinal range, but cushions and acaulescent rosettes responded differently.</x:t>
  </x:si>
  <x:si>
    <x:t xml:space="preserve">Pacheco et al., 2022</x:t>
  </x:si>
  <x:si>
    <x:t xml:space="preserve">Profiling the Quito basin (Ecuador) using seismic ambient noise</x:t>
  </x:si>
  <x:si>
    <x:t xml:space="preserve">Quito, the capital of Ecuador, with more than 2.5 M inhabitants, is exposed to a high seismic hazard due to its proximity to the Pacific subduction zone and active crustal faults, both capable of generating significant earthquakes. Furthermore, the city is located in an intermontane piggy-back basin prone to seismic wave amplification. To understand the basin’s seismic response and characterize its geological structure, 20 broad and medium frequency band seismic stations were deployed in Quito’s urban area between May 2016 and July 2018 that continuously recorded ambient seismic noise. We first compute horizontal-to-vertical spectral ratios to determine the resonant frequency distribution in the entire basin. Secondly, we cross-correlate seismic stations operating simultaneously to retrieve interstations surfacewave Green’s functions in the frequency range of 0.1–2 Hz. We find that Love waves travelling in the basin’s longitudinal direction (NNE–SSW) show much clearer correlograms than those from Rayleigh waves. We then compute Love wave phase-velocity dispersion curves and invert them in conjunction with the HVSR curves to obtain shear-wave velocity profiles throughout the city. The inversions highlight a clear difference in the basin’s structure between its northern and southern parts. In the centre and northern areas, the estimated basin depth and mean shearwave velocity are about 200 m and 1800 ms−1 , respectively, showing resonance frequency values between 0.6 and 0.7 Hz. On the contrary, the basement’s depth and shear-wave velocity in the southern part are about 900 m and 2500 ms−1 , having a low resonance frequency value of around 0.3 Hz. This difference in structure between the centre-north and the south of the basin explains the spatial distribution of low-frequency seismic amplifications observed during the Mw 7.8 Pedernales earthquake in April 2016 in Quito.</x:t>
  </x:si>
  <x:si>
    <x:t xml:space="preserve">Pérez et al., 2020</x:t>
  </x:si>
  <x:si>
    <x:t xml:space="preserve">ESeismic: Towards an Ecuadorian volcano seismic repository</x:t>
  </x:si>
  <x:si>
    <x:t xml:space="preserve">In this work, we present the development, description, and performance evaluation of two volcano seismological datasets: one containing raw seismic signals (MicSigV1) and another containing a set of 84 distinctive attributes or features for bench-marking (SeisBenchV1), which was extracted from the MicSigV1 dataset, recorded at Cotopaxi volcano in Ecuador. These datasets represent the first public Ecuadorian volcano seismicity repository that will update, publish, and support the release of data to the scientific community on a continual basis. Each dataset contains samples of mostly long-period and volcano-tectonic event classes. Other types of events, such as regional, hybrid, and icequakes, were also included despite their minor presence in the datasets. These datasets will serve to provide an important resource for research in signal processing, feature calculation, feature selection, feature space reduction, seismic events detection, and classification areas. The datasets can be downloaded through a copyright agreement that supports the correct use of the released datasets.</x:t>
  </x:si>
  <x:si>
    <x:t xml:space="preserve">Cotopaxi </x:t>
  </x:si>
  <x:si>
    <x:t xml:space="preserve">Volcán Cotopaxi</x:t>
  </x:si>
  <x:si>
    <x:t xml:space="preserve">Alvarado et al., 2018</x:t>
  </x:si>
  <x:si>
    <x:t xml:space="preserve">Seismic, Volcanic, and Geodetic Networks in
Ecuador: Building Capacity for Monitoring and
Research</x:t>
  </x:si>
  <x:si>
    <x:t xml:space="preserve">The Instituto Geofísico of the Escuela Politécnica Nacional (IGEPN) is in charge of the monitoring and study of seismic and volcanic activity in the Ecuadorean territory. This institution currently maintains the Servicio Nacional de Sismología y Vulcanología (The National Seismology and Volcanology Service), which includes monitoring via modern seismic, volcanic, and geodetic networks with 81 seismic stations, 117 strongmotion sensors, 85 Global Positioning System (GPS) stations, and 8 first- and second-level volcano observatories (at least 2 independent monitoring techniques). This system is supported by a real-time transmission network that relies on different and inde-
pendent technologies (satellite, microwave, fiber-optic, and digital radio). It also maintains the National Processing Center for Issuing Seismic and Volcanic Alerts (TERRAS center), which operates 24/7 and supplies the information by email, fax, radio, Skype, Facebook, Twitter, website, and SMS, and the national seismic and volcanic data center, which maintains raw and processed seismic, volcanic, and geodetic data. Evolution, coverage, and characteristics of these networks are described in this article. </x:t>
  </x:si>
  <x:si>
    <x:t xml:space="preserve">Cabrera-Barona y Cisneros, 2021</x:t>
  </x:si>
  <x:si>
    <x:t xml:space="preserve">EXPLAINING THE EFFECTIVENESS OF FOREST AND
WATER MANAGEMENT AND ITS SPATIAL DISTRIBUTION
IN THE METROPOLITAN DISTRICT OF QUITO</x:t>
  </x:si>
  <x:si>
    <x:t xml:space="preserve">The effective implementation of Sustainable Development Goals (SDGs) related to forests (SDG15) and water resources (SDG6) have significant implications for achieving quality of life for people in urban and rural areas. We carried out a study in the rural parishes of the Metropolitan District of Quito (MDQ), Ecuador. The objective of the study was to assess how biophysical factors, institutional capacity and institutional complexity influence the perceived effectiveness of forest and water management. Ordinal logistic regressions were applied and spatial lag regressions were also calculated to assess the possible spatial correlation of the dependent variables. Additionally, spatial autocorrelation analyses (Gi* and Anselin Local Moran´s I) were applied to assess the perceived effectiveness. The regressions results show that the number of stakeholders involved in the management of each resource, used as a proxy for institutional complexity, was a significant variable (p-value = 0.003 for forest resource management and p-value = 0.027 for water resource management) when explaining perceived effectiveness. The spatial autocorrelation results show spatial hotspots (90% and 99% confidence) and a cluster (95 % confidence) of forest management effectiveness as well as some spatial outliers (95% confidence) of water and forest management effectiveness. These findings were put in context to assess the current institutional arrangements used by local actors to implement SDGs 6 and 15. The results obtained may be useful for  improving local public policies that seek integrated implementation for SDGs 6 and 15, while the applied methods can be transferred to the study of other SDGs.</x:t>
  </x:si>
  <x:si>
    <x:t xml:space="preserve">Designing Eco‐Friendly Water Intake Portfolios
in a Tropical Andean Stream Network</x:t>
  </x:si>
  <x:si>
    <x:t xml:space="preserve">In view of the rapid proliferation of water infrastructures worldwide, balancing human and ecosystem needs for water resources is a critical environmental challenge of global significance. While there is abundant literature on the environmental impacts of individual water infrastructures, little attention has been paid to their cumulative effects in river networks, which may have basin‐to‐global impacts on freshwater ecology. Here we developed a methodological framework based on Pareto frontier analysis for optimizing trade‐offs between water withdrawal and ecological indicators. We applied this framework to a mountainous Ecuadorian headwater river network that is part of a continental water transfer for supply and demand management to optimize ecological conditions and the operation of 11 water intake structures used to provide potable water to the city of Quito. We found that the current water intake configuration has an important effect on the total length of fifth‐order stream sections (65% reduction compared to premanaged condition) and isolates 70.9% of the headwater stream length. The Pareto frontier analysis identified water intake portfolios (i.e., different combinations of intake sites) that decreased ecological impacts by 7.8% points (pp) and 13.0 pp for connectivity and stream order change, respectively, while meeting Quito's water demands. Additional portfolios accounting for monthly variability in water demand and resources further decrease the ecological impact up to 9.6 pp in connectivity and 13.4 pp in stream order. These eco‐friendly portfolios suggest that adaptive management at basin level may help optimize water withdrawal to fulfill urban demands while preserving ecological integrity. </x:t>
  </x:si>
  <x:si>
    <x:t xml:space="preserve">Zogheib et al., 2018</x:t>
  </x:si>
  <x:si>
    <x:t xml:space="preserve">Exploring a water data, evidence, and governance theory</x:t>
  </x:si>
  <x:si>
    <x:t xml:space="preserve">The hydrological evidence on which water resource management and broader governance decisions are based is often very limited. This issue is especially pronounced in lower- and middle-income countries, where not only data are scarce but where pressure on water resources is often already very high and increasing. Historically, several governance theories have been put forward to examine water resource management. One of the more influential is Elinor Ostrom’s theory of common-pool resources. However while used very widely, the underlying principles of Ostrom’s approach make pronounced implicit assumptions about the role of data and evidence in common-pool resource systems. We argue here this overlooks how power relations, user characteristics, system arrangements, and technological advances modulate fundamental associations between data, evidence, and governance, which we contend need to be considered explicitly. Examining the case of water allocations in Quito, Ecuador, we develop a set of concrete criteria to inform the ways in which Ostrom’s principles can be applied in a data-scarce, institutionally complex, polycentric context. By highlighting the variable impact of data availability on subsequent evidence generation, these criteria have the potential to test the applicability of common assumptions about how to achieve water security in a developmental context, and hence offer the possibility of developing a more encompassing theory about the interactions between water data, evidence, and governance.</x:t>
  </x:si>
  <x:si>
    <x:t xml:space="preserve">Quito</x:t>
  </x:si>
  <x:si>
    <x:t xml:space="preserve">Vredebeld, 2008</x:t>
  </x:si>
  <x:si>
    <x:t xml:space="preserve">Striving for Integrated Water Resource Management in Quito, Ecuador: Public Good or Economic and Political Good</x:t>
  </x:si>
  <x:si>
    <x:t xml:space="preserve">Claiming that water is a public good to which no citizen should be denied access, Ecuadorian water management attempts to frame this issue in the context of social justice and regional development. Regional authorities also realize that water exploitation, overuse and poor management have put at risk the watersheds, water quality, hydrologic cycles and biological diversity necessary to provide clean water for Quito. To achieve these social and environmental goals, regional water authorities have attempted to regulate the resource among competing uses—large-scale agricultural irrigation, small-scale agricultural water diversions, urban and rural potable uses, industrial uses and flows for hydroelectric projects—by prioritizing them: (1) Human consumption, including cultural and spiritual development, (2) Irrigation for agriculture and livestock in order to insure food production sovereignty, and (3) Public use in the Energy, Industry and Recreation sectors. Throughout all of these uses, water resource administration agencies are instructed to take into consideration water budget requirements for territorial planning and development, including social, geographic, economic and environmental needs (Asamblea Consituyente, 19 February 2008). In this way, they hope that future planning and development will not spend more water than is actually available.</x:t>
  </x:si>
  <x:si>
    <x:t xml:space="preserve">Zambrano-Barragán et al., 2011</x:t>
  </x:si>
  <x:si>
    <x:t xml:space="preserve">Quito’s Climate Change Strategy: A Response to Climate Change in the Metropolitan District of Quito, Ecuador</x:t>
  </x:si>
  <x:si>
    <x:t xml:space="preserve">Climate change is one of the most challenging social, environmental and economic issues Ecuador and its capital, the Metropolitan District of Quito, are facing. It is estimated that in the last 100 years, the average temperature in Quito increased by 1.2–1.4°C, causing significant change in weather patterns and directly and indirectly impacting ecosystems, infrastructure, water availability, human health, food security and hydroelectric generation, among others. In response to current and projected impacts, the municipality of Quito adopted Quito’s Climate Change Strategy (QCCS) in 2009. In coordination with key stakeholders, including the academia, the municipality is currently implementing a series of adaptation and mitigation measures in key sectors. Actions fall under four strategic axes: (1) information generation and management; (2) use of clean technologies and good practices for adaptation and mitigation; (3) communication, education and citizen participation; and (4) institutional strengthening and capacity-building. Given the importance of water resources for the city and its surroundings, measures to face climate change in the water provision and risk management sectors are at the core of the strategy. Quito is one of the few Latin American cities that have a local policy instrument such as the Climate Change Strategy, which together with the use of the city’s ecological footprint as a planning tool, put the city at a vanguard in local responses to climate change.</x:t>
  </x:si>
  <x:si>
    <x:t xml:space="preserve">Flohr, 2021</x:t>
  </x:si>
  <x:si>
    <x:t xml:space="preserve">
Livelihood-sensitive restoration: overcoming scale challenges in the governance of landscape restoration The case of the Quito Water Fund in the Ecuadorian highlands</x:t>
  </x:si>
  <x:si>
    <x:t xml:space="preserve">Ecosystem degradation and deforestation in the wider Quito region in central Ecuador put pressure on the sensitive páramo ecosystem that hosts 97% of Quito’s drinking water sources. To answer ongoing degradation while securing the future water supply of the citizens of Quito, the Nature Conservancy (TNC) alongside the Public Metropolitan Drinking Water and Sanitation Company (EPMAPS) and Fundación Antisana created the Quito Water Protection Fund (FONAG) in 2000 – a voluntary mercantile trust fund that finances and implements restoration activities around Quito. The objective of this study is to identify the strategies that FONAG uses to reconcile landscape restoration with rural livelihoods in upstream communities. Applying scaling theory to the empirical case of FONAG in Ecuador, this study contributes to the systematic understanding of scale challenges and scale-sensitive governance occurring in landscape restoration. The study was informed by fieldwork conducted in Ecuador from August until December 2019. Rural livelihoods were studied in two rural communities, namely Oyacachi in the province Napo and San Francisco de Cruz Loma in the province Pichincha. Qualitative data was collected through observation, document analysis and 43 semi-structured interviews with 34 respondents. The results suggest that FONAG uses five restoration strategies: (1) generation of hydrometeorological and socioeconomic data, (2) declaration of conservation areas, (3) passive and active restoration of degraded páramo, (4) environmental education as well as (5) hiring of guardapáramos. In the process, four scale challenges were found: (1) a temporal mismatch between short-term election cycles and long-term restoration timelines, (2) a temporal blind spot in considering short-term livelihood losses in long-term restoration processes, (3) a spatial mismatch as restoration interventions provoke a displacement of the problem to another area and finally (4) a spatial blind spot in EPMAPS’ failure to consider upstream water needs while downstream water needs are targeted. FONAG uses a variety of scale-sensitive governance strategies to address those challenges, which include elements of scale-sensitive observing, acting and enabling. The study concludes that addressing scale challenges remains a complex challenge for restoration practitioners, as there is no such thing as a lasting or fixed solution. Instead, a long-term multilevel and adaptive governance approach is needed, that should be embedded in the local context. To inform future landscape initiatives about the experience of FONAG, the author coins the term livelihood-sensitive restoration (LSR) as a promising approach in restoration governance, whereby the livelihood needs of rural upstream communities are reconciled with ecosystem needs of the watershed.</x:t>
  </x:si>
  <x:si>
    <x:t xml:space="preserve">Suárez et al., 2013</x:t>
  </x:si>
  <x:si>
    <x:t xml:space="preserve">Influence of vegetation types and ground cover on soil water infiltration capacity in ahigh-altitudepáramoecosystem</x:t>
  </x:si>
  <x:si>
    <x:t xml:space="preserve">Mountain ecosystems are receiving increasing attention due to their role in the regulationand supply of water for a growing human population, a patternthat is especially impor-tant in high altitude ecosystems of the northern Andes (páramo). Although it is commonlyaccepted  that the  capacity of  soils to retain and regulate water  is mostly given  by theirstructure and organic matter content, it could be also influenced by the differences in thedepth and nature of plant ground cover in different vegetation types. By performing a seriesof water infiltration essays in soils under different vegetation or land-use categories in anEcuadorianpáramo, we evaluated the relative contribution of ground vegetation cover towater infiltration capacity.  Water infiltration was extremely high under shrubland vegeta-tion andPolylepisforest, and decreased markedly under grassland, Pine plantations, andcattle trails.  In all cases,  the layer of ground vegetation made a significant contributionto  total  infiltration  capacity,  as  shown  by  the  lower  infiltration  rates  of  the  essays  per-formed after this layer was removed. Management and restoration of mountain ecosystemsshould concentrate in the recovery of landscape-level heterogeneity and the protection ofthe ground vegetation layer that regulates soil micro-climate, and provides additional waterstorage capacity.</x:t>
  </x:si>
  <x:si>
    <x:t xml:space="preserve">Cierjacks et al., 2008</x:t>
  </x:si>
  <x:si>
    <x:t xml:space="preserve">Effects of altitude and livestock on the regeneration of two tree line forming Polylepis species in Ecuador</x:t>
  </x:si>
  <x:si>
    <x:t xml:space="preserve">Regeneration is known to be limited at many temperate tree lines, but very little data is available on the impacts of altitude and anthropogenic disturbance on regeneration patterns along tropical tree lines. The study focused on the reproductive traits of two Polylepis species in the Páramo de Papallacta in Ecuador along an altitudinal gradient, and involved different intensities of cattle trampling within subsequent altitudinal ranges. We analyzed flowering, fruit set, seed viability, germination, and seedling establishment as well as stand structure of Polylepis incana and P. pauta. The numbers of P. incana inflorescences and seedlings per m2 showed a marginally significant decrease with increasing altitude. Mean tree height was significantly lower at higher altitudes, while stem number increased. The number of P. pauta inflorescences also decreased significantly upslope. In both forest types, trampling was found to have a positive impact on seedling abundance, presumably due to the removal of the litter layer. Thus, there was no evidence of negative effects of moderate cattle grazing on both tree line species. However, sapling establishment was minimal inside the forest stands at all altitudes and grazing levels, and we consequently observed a low proportion of narrow stems within all investigated forests. Our results show that, along with vegetative growth limitations of adult trees, important regeneration traits such as seedling and inflorescence numbers are also influenced by altitude, which might contribute to the formation of the upper tree line. Nevertheless, recruitment in the forest interior was low overall indicating that further factors, such as
light conditions, affect regeneration of the studied species.</x:t>
  </x:si>
  <x:si>
    <x:t xml:space="preserve">Figueroa et al., 2011</x:t>
  </x:si>
  <x:si>
    <x:t xml:space="preserve">Dos nuevas especies del grupo Drosophila onychophora (Diptera, Drosophilidae) en los bosques de Polylepis de Papallacta, Pichincha, Ecuador</x:t>
  </x:si>
  <x:si>
    <x:t xml:space="preserve">A pesar de ser un país relativamente pequeño, Ecuador tiene una gran variedad de ecosistemas que han favorecido altos niveles de especiación. Uno de estos ecosistemas es el bosque de Polylepis. En estos bosques existe una gran diversidad de plantas, como las asteráceas (compuestas), cuyas flores hospedan una plétora de insectos, entre los que se encuentran las especies del grupo Drosophila onychophora. En este estudio, describimos dos nuevas especies de Drosophila recolectadas en un parche de bosque de Polylepis pauta en el Páramo de Papallacta a 4000 msnm. Ambas especies pertenecen al grupo D. onychophora: Drosophila yurag sp. nov. y Drosophila yuragshina sp. nov. Las dos especies presentan edeagos alargados, este carácter es propio de especies del grupo. Morfológicamente ambas especies son muy parecidas, la manera más fácil de distinguirlas consiste en la observación de las alas.</x:t>
  </x:si>
  <x:si>
    <x:t xml:space="preserve">Catanier, 2015</x:t>
  </x:si>
  <x:si>
    <x:t xml:space="preserve">Economic Valuation for Decision Making on the Protection of Water Sources</x:t>
  </x:si>
  <x:si>
    <x:t xml:space="preserve">The purpose of this paper is to carry out an economic analysis of the required investments for the protection of natural water sources for the drinking water supply of the city of Quito, Ecuador. Although “producing” water or minerals has no cost since they naturally exist on the environment, the values of ecosystems’ services and functions can be estimated based on applications of a series of environmental economics methods. The Contingent Valuation Method is especially relevant, since it estimates the use and non-use values, which can correspond to the total economic value or benefits to society derived from protected water sources. This method is applied to a case involving the Water and Sanitation Company of the City of Quito (EPMAPS), which has made important investments for protection of the main water sources for the city of Quito. The results of the economic analysis demonstrate the economic feasibility of the required investments for the protection of water sources taking into account the costs involved and the total economic value or benefits calculated by means of the Contingent Valuation Method. This will allow its dissemination and training at all levels in order to internalize the environmental economic values on related individual and institutional decision making. </x:t>
  </x:si>
  <x:si>
    <x:t xml:space="preserve">LÍNEAS PRIORITARIA DE INVESTIGACIÓN</x:t>
  </x:si>
  <x:si>
    <x:t xml:space="preserve">No. Becarios </x:t>
  </x:si>
  <x:si>
    <x:t xml:space="preserve">No. Apoyo a Investigaciones</x:t>
  </x:si>
  <x:si>
    <x:t xml:space="preserve">No. Proyectos de Investigación</x:t>
  </x:si>
  <x:si>
    <x:t xml:space="preserve">No. TOTAL ESTUDIOS ECAP</x:t>
  </x:si>
  <x:si>
    <x:t xml:space="preserve">No. Otros Estudios Referenciados</x:t>
  </x:si>
  <x:si>
    <x:t xml:space="preserve">No. Otros Estudios "Google Académico"</x:t>
  </x:si>
  <x:si>
    <x:t xml:space="preserve">TOTAL</x:t>
  </x:si>
  <x:si>
    <x:t xml:space="preserve">Total Estudios</x:t>
  </x:si>
  <x:si>
    <x:t xml:space="preserve">Becarios (%)</x:t>
  </x:si>
  <x:si>
    <x:t xml:space="preserve">Apoyo a Investigaciones (%)</x:t>
  </x:si>
  <x:si>
    <x:t xml:space="preserve">Proyectos de Investigación (%)</x:t>
  </x:si>
  <x:si>
    <x:t xml:space="preserve">TOTAL ESTUDIOS ECAP (%)</x:t>
  </x:si>
  <x:si>
    <x:t xml:space="preserve">Otros Estudios Referenciados     (%)</x:t>
  </x:si>
  <x:si>
    <x:t xml:space="preserve">Otros Estudios "Google Académico"(%)</x:t>
  </x:si>
  <x:si>
    <x:t xml:space="preserve">Total Estudios Complementarios (%)</x:t>
  </x:si>
  <x:si>
    <x:t xml:space="preserve">Total Estudios (%)</x:t>
  </x:si>
  <x:si>
    <x:t xml:space="preserve">AREAS DE CONSERVACIÓN HÍDRICA</x:t>
  </x:si>
  <x:si>
    <x:t xml:space="preserve">Becarios</x:t>
  </x:si>
  <x:si>
    <x:t xml:space="preserve">Apoyo a Investigaciones</x:t>
  </x:si>
  <x:si>
    <x:t xml:space="preserve">Proyectos de Investigación</x:t>
  </x:si>
  <x:si>
    <x:t xml:space="preserve">TOTAL ECAP</x:t>
  </x:si>
  <x:si>
    <x:t xml:space="preserve">TOTAL ECAP (%)</x:t>
  </x:si>
  <x:si>
    <x:t xml:space="preserve">Chalpi</x:t>
  </x:si>
  <x:si>
    <x:t xml:space="preserve">Rumipamba</x:t>
  </x:si>
  <x:si>
    <x:t xml:space="preserve">SISTEMAS</x:t>
  </x:si>
  <x:si>
    <x:t xml:space="preserve">Otros </x:t>
  </x:si>
  <x:si>
    <x:t xml:space="preserve">UNIVERSIDADES</x:t>
  </x:si>
  <x:si>
    <x:t xml:space="preserve">SEK</x:t>
  </x:si>
  <x:si>
    <x:t xml:space="preserve">UTI</x:t>
  </x:si>
  <x:si>
    <x:t xml:space="preserve">Geofísica INIGEM</x:t>
  </x:si>
  <x:si>
    <x:t xml:space="preserve">UDA</x:t>
  </x:si>
  <x:si>
    <x:t xml:space="preserve">OTROS</x:t>
  </x:si>
  <x:si>
    <x:t xml:space="preserve">LÍNEAS PRIORITARIA DE INVESTIGACIÓN DE ECAP</x:t>
  </x:si>
  <x:si>
    <x:t xml:space="preserve">No. Total de Estudios</x:t>
  </x:si>
  <x:si>
    <x:t xml:space="preserve">1. Restauración de la cobertura vegetal</x:t>
  </x:si>
  <x:si>
    <x:t xml:space="preserve">2. Hidrología</x:t>
  </x:si>
  <x:si>
    <x:t xml:space="preserve">3. Hidrogeología</x:t>
  </x:si>
  <x:si>
    <x:t xml:space="preserve">4. Ecología de páramo</x:t>
  </x:si>
  <x:si>
    <x:t xml:space="preserve">5. Cambio climático y global</x:t>
  </x:si>
  <x:si>
    <x:t xml:space="preserve">6. Manejo de embalses</x:t>
  </x:si>
  <x:si>
    <x:t xml:space="preserve">7. Geología, Sismología y Vulcanología</x:t>
  </x:si>
  <x:si>
    <x:t xml:space="preserve">8. Análisis Socioeconómicos y Ambientales</x:t>
  </x:si>
  <x:si>
    <x:t xml:space="preserve">9. Economía Ecológica y Economía Ambiental</x:t>
  </x:si>
  <x:si>
    <x:t xml:space="preserve">10. Energía Renovable</x:t>
  </x:si>
  <x:si>
    <x:t xml:space="preserve">TOTAL ESTUDIOS</x:t>
  </x:si>
  <x:si>
    <x:t xml:space="preserve">LÍNEAS Y SUB-LÍNEAS DE NVESTIGACIÓN DE ECAP</x:t>
  </x:si>
  <x:si>
    <x:t xml:space="preserve">     2.1 Modelación hidrológica</x:t>
  </x:si>
  <x:si>
    <x:t xml:space="preserve">     2.2 Calidad del agua</x:t>
  </x:si>
  <x:si>
    <x:t xml:space="preserve">     2.3 Hidrología con trazadores</x:t>
  </x:si>
  <x:si>
    <x:t xml:space="preserve">     2.4 Impactos antropogénicos en las propiedades hidrofísicas de suelos de páramo</x:t>
  </x:si>
  <x:si>
    <x:t xml:space="preserve">     2.5 Inteligencia Artificial</x:t>
  </x:si>
  <x:si>
    <x:t xml:space="preserve">     2.6 Humedales y efecto de la hidrología en el contenido de COD en turberas</x:t>
  </x:si>
</x:sst>
</file>

<file path=xl/styles.xml><?xml version="1.0" encoding="utf-8"?>
<x:styleSheet xmlns:x="http://schemas.openxmlformats.org/spreadsheetml/2006/main">
  <x:numFmts count="2">
    <x:numFmt numFmtId="200" formatCode="0.0000000"/>
    <x:numFmt numFmtId="201" formatCode="$#,##0.00"/>
  </x:numFmts>
  <x:fonts count="19">
    <x:font>
      <x:sz val="11"/>
      <x:color theme="1"/>
      <x:name val="Calibri"/>
    </x:font>
    <x:font>
      <x:b/>
      <x:sz val="11"/>
      <x:color theme="1"/>
      <x:name val="Calibri"/>
    </x:font>
    <x:font>
      <x:b/>
      <x:sz val="26"/>
      <x:name val="Calibri"/>
    </x:font>
    <x:font>
      <x:sz val="11"/>
      <x:name val="Calibri"/>
    </x:font>
    <x:font>
      <x:b/>
      <x:sz val="11"/>
      <x:name val="Calibri"/>
    </x:font>
    <x:font>
      <x:sz val="11"/>
      <x:color theme="10"/>
      <x:name val="Calibri"/>
    </x:font>
    <x:font>
      <x:i/>
      <x:sz val="11"/>
      <x:name val="Calibri"/>
    </x:font>
    <x:font>
      <x:sz val="11"/>
      <x:name val="Calibri"/>
    </x:font>
    <x:font>
      <x:b/>
      <x:sz val="16"/>
      <x:name val="Calibri"/>
    </x:font>
    <x:font>
      <x:sz val="11"/>
      <x:color rgb="FF0563C1"/>
      <x:name val="Calibri"/>
    </x:font>
    <x:font>
      <x:sz val="11"/>
      <x:color rgb="FFFF0000"/>
      <x:name val="Calibri"/>
    </x:font>
    <x:font>
      <x:sz val="11"/>
      <x:color rgb="FF000000"/>
      <x:name val="Microsoft New Tai Lue"/>
    </x:font>
    <x:font>
      <x:sz val="11"/>
      <x:color rgb="FF000000"/>
      <x:name val="Calibri"/>
    </x:font>
    <x:font>
      <x:i/>
      <x:sz val="11"/>
      <x:color rgb="FF000000"/>
      <x:name val="Calibri"/>
    </x:font>
    <x:font>
      <x:sz val="11"/>
      <x:color rgb="FF061231"/>
      <x:name val="Calibri"/>
    </x:font>
    <x:font>
      <x:sz val="11"/>
      <x:color rgb="FF000000"/>
      <x:name val="Calibri"/>
    </x:font>
    <x:font>
      <x:i/>
      <x:sz val="11"/>
      <x:color theme="1"/>
      <x:name val="Calibri"/>
    </x:font>
    <x:font>
      <x:sz val="10"/>
      <x:color rgb="FF122D5F"/>
      <x:name val="Arial"/>
    </x:font>
    <x:font>
      <x:b/>
      <x:sz val="10"/>
      <x:color rgb="FFFFFFFF"/>
      <x:name val="Arial"/>
    </x:font>
  </x:fonts>
  <x:fills count="23">
    <x:fill>
      <x:patternFill patternType="none"/>
    </x:fill>
    <x:fill>
      <x:patternFill patternType="gray125"/>
    </x:fill>
    <x:fill>
      <x:patternFill patternType="solid">
        <x:fgColor theme="7" tint="0.59999"/>
      </x:patternFill>
    </x:fill>
    <x:fill>
      <x:patternFill patternType="solid">
        <x:fgColor theme="9"/>
      </x:patternFill>
    </x:fill>
    <x:fill>
      <x:patternFill patternType="solid">
        <x:fgColor rgb="FF00B0F0"/>
      </x:patternFill>
    </x:fill>
    <x:fill>
      <x:patternFill patternType="solid">
        <x:fgColor rgb="FF7030A0"/>
      </x:patternFill>
    </x:fill>
    <x:fill>
      <x:patternFill patternType="solid">
        <x:fgColor theme="7"/>
      </x:patternFill>
    </x:fill>
    <x:fill>
      <x:patternFill patternType="solid">
        <x:fgColor theme="5"/>
      </x:patternFill>
    </x:fill>
    <x:fill>
      <x:patternFill patternType="solid">
        <x:fgColor theme="8"/>
      </x:patternFill>
    </x:fill>
    <x:fill>
      <x:patternFill patternType="solid">
        <x:fgColor rgb="FFFF0000"/>
      </x:patternFill>
    </x:fill>
    <x:fill>
      <x:patternFill patternType="solid">
        <x:fgColor theme="9" tint="0.79998"/>
      </x:patternFill>
    </x:fill>
    <x:fill>
      <x:patternFill patternType="solid">
        <x:fgColor theme="5" tint="0.59999"/>
      </x:patternFill>
    </x:fill>
    <x:fill>
      <x:patternFill patternType="solid">
        <x:fgColor theme="7" tint="-0.24998"/>
      </x:patternFill>
    </x:fill>
    <x:fill>
      <x:patternFill patternType="solid">
        <x:fgColor theme="4" tint="0.59999"/>
      </x:patternFill>
    </x:fill>
    <x:fill>
      <x:patternFill patternType="solid">
        <x:fgColor theme="5" tint="-0.49998"/>
      </x:patternFill>
    </x:fill>
    <x:fill>
      <x:patternFill patternType="solid">
        <x:fgColor theme="2" tint="-0.24998"/>
      </x:patternFill>
    </x:fill>
    <x:fill>
      <x:patternFill patternType="solid">
        <x:fgColor theme="9" tint="0.59999"/>
      </x:patternFill>
    </x:fill>
    <x:fill>
      <x:patternFill patternType="solid">
        <x:fgColor theme="7" tint="0.79998"/>
      </x:patternFill>
    </x:fill>
    <x:fill>
      <x:patternFill patternType="solid">
        <x:fgColor theme="3" tint="0.59999"/>
      </x:patternFill>
    </x:fill>
    <x:fill>
      <x:patternFill patternType="solid">
        <x:fgColor rgb="FFFFFF00"/>
      </x:patternFill>
    </x:fill>
    <x:fill>
      <x:patternFill patternType="solid">
        <x:fgColor theme="7" tint="0.39998"/>
      </x:patternFill>
    </x:fill>
    <x:fill>
      <x:patternFill patternType="solid">
        <x:fgColor theme="0"/>
      </x:patternFill>
    </x:fill>
    <x:fill>
      <x:patternFill patternType="solid">
        <x:fgColor rgb="FF122D5F"/>
      </x:patternFill>
    </x:fill>
  </x:fills>
  <x:borders count="34">
    <x:border/>
    <x:border>
      <x:left style="thin">
        <x:color indexed="64"/>
      </x:left>
      <x:right style="thin">
        <x:color indexed="64"/>
      </x:right>
      <x:top style="thin">
        <x:color indexed="64"/>
      </x:top>
    </x:border>
    <x:border>
      <x:left style="thin">
        <x:color indexed="64"/>
      </x:left>
      <x:top style="thin">
        <x:color indexed="64"/>
      </x:top>
    </x:border>
    <x:border>
      <x:left style="thin">
        <x:color indexed="64"/>
      </x:left>
      <x:top style="thin">
        <x:color indexed="64"/>
      </x:top>
      <x:bottom style="thin">
        <x:color indexed="64"/>
      </x:bottom>
    </x:border>
    <x:border>
      <x:top style="thin">
        <x:color indexed="64"/>
      </x:top>
      <x:bottom style="thin">
        <x:color indexed="64"/>
      </x:bottom>
    </x:border>
    <x:border>
      <x:right style="thin">
        <x:color indexed="64"/>
      </x:right>
      <x:top style="thin">
        <x:color indexed="64"/>
      </x:top>
      <x:bottom style="thin">
        <x:color indexed="64"/>
      </x:bottom>
    </x:border>
    <x:border>
      <x:left style="thin">
        <x:color indexed="64"/>
      </x:left>
      <x:right style="thin">
        <x:color indexed="64"/>
      </x:right>
      <x:top style="thin">
        <x:color indexed="64"/>
      </x:top>
      <x:bottom style="thin">
        <x:color indexed="64"/>
      </x:bottom>
    </x:border>
    <x:border>
      <x:left style="thin">
        <x:color indexed="64"/>
      </x:left>
      <x:right style="thin">
        <x:color indexed="64"/>
      </x:right>
      <x:bottom style="thin">
        <x:color indexed="64"/>
      </x:bottom>
    </x:border>
    <x:border>
      <x:left style="thin">
        <x:color indexed="64"/>
      </x:left>
      <x:bottom style="thin">
        <x:color indexed="64"/>
      </x:bottom>
    </x:border>
    <x:border>
      <x:right style="thin">
        <x:color indexed="64"/>
      </x:right>
      <x:top style="thin">
        <x:color indexed="64"/>
      </x:top>
    </x:border>
    <x:border>
      <x:right style="thin">
        <x:color indexed="64"/>
      </x:right>
      <x:bottom style="thin">
        <x:color indexed="64"/>
      </x:bottom>
    </x:border>
    <x:border>
      <x:left style="thin">
        <x:color indexed="64"/>
      </x:left>
      <x:right style="thin">
        <x:color indexed="64"/>
      </x:right>
    </x:border>
    <x:border>
      <x:left style="thin">
        <x:color indexed="64"/>
      </x:left>
    </x:border>
    <x:border>
      <x:right style="thin">
        <x:color indexed="64"/>
      </x:right>
    </x:border>
    <x:border>
      <x:bottom style="thin">
        <x:color indexed="64"/>
      </x:bottom>
    </x:border>
    <x:border>
      <x:top style="thin">
        <x:color indexed="64"/>
      </x:top>
    </x:border>
    <x:border>
      <x:left style="medium">
        <x:color indexed="64"/>
      </x:left>
      <x:right style="medium">
        <x:color indexed="64"/>
      </x:right>
      <x:top style="medium">
        <x:color indexed="64"/>
      </x:top>
    </x:border>
    <x:border>
      <x:left style="medium">
        <x:color indexed="64"/>
      </x:left>
      <x:right style="medium">
        <x:color indexed="64"/>
      </x:right>
      <x:top style="medium">
        <x:color indexed="64"/>
      </x:top>
      <x:bottom style="thin">
        <x:color indexed="64"/>
      </x:bottom>
    </x:border>
    <x:border>
      <x:left style="medium">
        <x:color indexed="64"/>
      </x:left>
      <x:right style="medium">
        <x:color indexed="64"/>
      </x:right>
      <x:top style="thin">
        <x:color indexed="64"/>
      </x:top>
      <x:bottom style="medium">
        <x:color indexed="64"/>
      </x:bottom>
    </x:border>
    <x:border>
      <x:left style="medium">
        <x:color indexed="64"/>
      </x:left>
      <x:right style="medium">
        <x:color indexed="64"/>
      </x:right>
      <x:top style="thin">
        <x:color indexed="64"/>
      </x:top>
      <x:bottom style="thin">
        <x:color indexed="64"/>
      </x:bottom>
    </x:border>
    <x:border>
      <x:left style="medium">
        <x:color indexed="64"/>
      </x:left>
      <x:top style="thin">
        <x:color indexed="64"/>
      </x:top>
      <x:bottom style="medium">
        <x:color indexed="64"/>
      </x:bottom>
    </x:border>
    <x:border>
      <x:left style="thin">
        <x:color rgb="FF000000"/>
      </x:left>
      <x:right style="thin">
        <x:color rgb="FF000000"/>
      </x:right>
      <x:top style="thin">
        <x:color rgb="FF000000"/>
      </x:top>
      <x:bottom style="thin">
        <x:color rgb="FF000000"/>
      </x:bottom>
    </x:border>
    <x:border>
      <x:left style="thin">
        <x:color rgb="FF000000"/>
      </x:left>
      <x:right style="thin">
        <x:color rgb="FF000000"/>
      </x:right>
      <x:top style="thin">
        <x:color rgb="FF000000"/>
      </x:top>
    </x:border>
    <x:border>
      <x:right style="thin">
        <x:color rgb="FF000000"/>
      </x:right>
      <x:top style="thin">
        <x:color rgb="FF000000"/>
      </x:top>
      <x:bottom style="thin">
        <x:color rgb="FF000000"/>
      </x:bottom>
    </x:border>
    <x:border>
      <x:left style="thin">
        <x:color rgb="FF000000"/>
      </x:left>
      <x:top style="thin">
        <x:color rgb="FF000000"/>
      </x:top>
    </x:border>
    <x:border>
      <x:right style="thin">
        <x:color rgb="FF000000"/>
      </x:right>
      <x:top style="thin">
        <x:color rgb="FF000000"/>
      </x:top>
    </x:border>
    <x:border>
      <x:top style="thin">
        <x:color rgb="FF000000"/>
      </x:top>
    </x:border>
    <x:border>
      <x:left style="thin">
        <x:color rgb="FF000000"/>
      </x:left>
      <x:top style="thin">
        <x:color rgb="FF000000"/>
      </x:top>
      <x:bottom style="thin">
        <x:color rgb="FF000000"/>
      </x:bottom>
    </x:border>
    <x:border>
      <x:right style="thin">
        <x:color rgb="FFFFFFFF"/>
      </x:right>
    </x:border>
    <x:border>
      <x:left style="thin">
        <x:color rgb="FFFFFFFF"/>
      </x:left>
      <x:right style="thin">
        <x:color rgb="FFFFFFFF"/>
      </x:right>
    </x:border>
    <x:border>
      <x:left style="thin">
        <x:color rgb="FFFFFFFF"/>
      </x:left>
    </x:border>
    <x:border>
      <x:bottom style="thin">
        <x:color rgb="FFDCE4EC"/>
      </x:bottom>
    </x:border>
    <x:border>
      <x:top style="thin">
        <x:color rgb="FFDCE4EC"/>
      </x:top>
      <x:bottom style="thin">
        <x:color rgb="FFDCE4EC"/>
      </x:bottom>
    </x:border>
    <x:border>
      <x:top style="thin">
        <x:color rgb="FFDCE4EC"/>
      </x:top>
    </x:border>
  </x:borders>
  <x:cellStyleXfs count="2">
    <x:xf numFmtId="0" fontId="0" fillId="0" borderId="0"/>
    <x:xf numFmtId="0" fontId="5" fillId="0" borderId="0" applyNumberFormat="0" applyFill="0" applyBorder="0" applyAlignment="0" applyProtection="0"/>
  </x:cellStyleXfs>
  <x:cellXfs count="286">
    <x:xf numFmtId="0" fontId="0" fillId="0" borderId="0" xfId="0"/>
    <x:xf numFmtId="0" fontId="3" fillId="0" borderId="0" xfId="0" applyFont="1" applyAlignment="1">
      <x:alignment horizontal="left" vertical="top"/>
    </x:xf>
    <x:xf numFmtId="0" fontId="3" fillId="0" borderId="0" xfId="0" applyFont="1" applyAlignment="1">
      <x:alignment horizontal="center" vertical="center" wrapText="1"/>
    </x:xf>
    <x:xf numFmtId="0" fontId="4" fillId="2" borderId="6" xfId="0" applyFont="1" applyFill="1" applyBorder="1" applyAlignment="1">
      <x:alignment horizontal="center" vertical="center" wrapText="1"/>
    </x:xf>
    <x:xf numFmtId="0" fontId="3" fillId="0" borderId="6" xfId="0" applyFont="1" applyBorder="1" applyAlignment="1">
      <x:alignment horizontal="left" vertical="top"/>
    </x:xf>
    <x:xf numFmtId="0" fontId="3" fillId="0" borderId="6" xfId="0" applyFont="1" applyBorder="1" applyAlignment="1">
      <x:alignment vertical="top" wrapText="1"/>
    </x:xf>
    <x:xf numFmtId="0" fontId="3" fillId="0" borderId="6" xfId="0" applyFont="1" applyBorder="1" applyAlignment="1">
      <x:alignment horizontal="center" vertical="center" wrapText="1"/>
    </x:xf>
    <x:xf numFmtId="0" fontId="3" fillId="0" borderId="6" xfId="0" applyFont="1" applyBorder="1" applyAlignment="1">
      <x:alignment horizontal="left" vertical="center" wrapText="1"/>
    </x:xf>
    <x:xf numFmtId="0" fontId="3" fillId="8" borderId="6" xfId="0" applyFont="1" applyFill="1" applyBorder="1" applyAlignment="1">
      <x:alignment horizontal="left" vertical="top"/>
    </x:xf>
    <x:xf numFmtId="0" fontId="3" fillId="0" borderId="0" xfId="0" applyFont="1" applyAlignment="1">
      <x:alignment vertical="top" wrapText="1"/>
    </x:xf>
    <x:xf numFmtId="0" fontId="3" fillId="0" borderId="0" xfId="0" applyFont="1" applyAlignment="1">
      <x:alignment horizontal="center" vertical="top" wrapText="1"/>
    </x:xf>
    <x:xf numFmtId="0" fontId="3" fillId="0" borderId="0" xfId="0" applyFont="1" applyAlignment="1">
      <x:alignment horizontal="center" vertical="top"/>
    </x:xf>
    <x:xf numFmtId="0" fontId="4" fillId="0" borderId="0" xfId="0" applyFont="1" applyAlignment="1">
      <x:alignment horizontal="center" vertical="center" wrapText="1"/>
    </x:xf>
    <x:xf numFmtId="0" fontId="3" fillId="0" borderId="0" xfId="0" applyFont="1" applyAlignment="1">
      <x:alignment horizontal="left" vertical="top" wrapText="1"/>
    </x:xf>
    <x:xf numFmtId="0" fontId="3" fillId="8" borderId="6" xfId="0" applyFont="1" applyFill="1" applyBorder="1" applyAlignment="1">
      <x:alignment horizontal="center" vertical="top"/>
    </x:xf>
    <x:xf numFmtId="0" fontId="3" fillId="0" borderId="6" xfId="0" applyFont="1" applyBorder="1" applyAlignment="1">
      <x:alignment horizontal="center" vertical="top"/>
    </x:xf>
    <x:xf numFmtId="0" fontId="3" fillId="6" borderId="6" xfId="0" applyFont="1" applyFill="1" applyBorder="1" applyAlignment="1">
      <x:alignment horizontal="center" vertical="top"/>
    </x:xf>
    <x:xf numFmtId="0" fontId="3" fillId="3" borderId="6" xfId="0" applyFont="1" applyFill="1" applyBorder="1" applyAlignment="1">
      <x:alignment horizontal="center" vertical="top"/>
    </x:xf>
    <x:xf numFmtId="0" fontId="3" fillId="0" borderId="0" xfId="0" applyFont="1" applyAlignment="1">
      <x:alignment horizontal="left" vertical="center" wrapText="1"/>
    </x:xf>
    <x:xf numFmtId="0" fontId="3" fillId="0" borderId="6" xfId="0" applyFont="1" applyBorder="1" applyAlignment="1">
      <x:alignment vertical="center" wrapText="1"/>
    </x:xf>
    <x:xf numFmtId="0" fontId="3" fillId="10" borderId="6" xfId="0" applyFont="1" applyFill="1" applyBorder="1" applyAlignment="1">
      <x:alignment vertical="top" wrapText="1"/>
    </x:xf>
    <x:xf numFmtId="0" fontId="3" fillId="11" borderId="6" xfId="0" applyFont="1" applyFill="1" applyBorder="1" applyAlignment="1">
      <x:alignment vertical="top" wrapText="1"/>
    </x:xf>
    <x:xf numFmtId="0" fontId="1" fillId="11" borderId="6" xfId="0" applyFont="1" applyFill="1" applyBorder="1" applyAlignment="1">
      <x:alignment horizontal="center" vertical="center" wrapText="1"/>
    </x:xf>
    <x:xf numFmtId="0" fontId="0" fillId="0" borderId="6" xfId="0" applyBorder="1"/>
    <x:xf numFmtId="0" fontId="0" fillId="0" borderId="6" xfId="0" applyBorder="1" applyAlignment="1">
      <x:alignment horizontal="center"/>
    </x:xf>
    <x:xf numFmtId="0" fontId="1" fillId="0" borderId="6" xfId="0" applyFont="1" applyBorder="1" applyAlignment="1">
      <x:alignment horizontal="center"/>
    </x:xf>
    <x:xf numFmtId="0" fontId="4" fillId="7" borderId="6" xfId="0" applyFont="1" applyFill="1" applyBorder="1" applyAlignment="1">
      <x:alignment horizontal="center" vertical="center" wrapText="1"/>
    </x:xf>
    <x:xf numFmtId="0" fontId="3" fillId="9" borderId="6" xfId="0" applyFont="1" applyFill="1" applyBorder="1" applyAlignment="1">
      <x:alignment horizontal="center" vertical="top"/>
    </x:xf>
    <x:xf numFmtId="0" fontId="3" fillId="7" borderId="6" xfId="0" applyFont="1" applyFill="1" applyBorder="1" applyAlignment="1">
      <x:alignment horizontal="center" vertical="top"/>
    </x:xf>
    <x:xf numFmtId="0" fontId="3" fillId="4" borderId="6" xfId="0" applyFont="1" applyFill="1" applyBorder="1" applyAlignment="1">
      <x:alignment horizontal="center" vertical="top"/>
    </x:xf>
    <x:xf numFmtId="0" fontId="4" fillId="12" borderId="6" xfId="0" applyFont="1" applyFill="1" applyBorder="1" applyAlignment="1">
      <x:alignment horizontal="center" vertical="center" wrapText="1"/>
    </x:xf>
    <x:xf numFmtId="0" fontId="4" fillId="13" borderId="6" xfId="0" applyFont="1" applyFill="1" applyBorder="1" applyAlignment="1">
      <x:alignment horizontal="center" vertical="center" wrapText="1"/>
    </x:xf>
    <x:xf numFmtId="1" fontId="3" fillId="3" borderId="6" xfId="0" applyNumberFormat="1" applyFont="1" applyFill="1" applyBorder="1" applyAlignment="1">
      <x:alignment horizontal="center" vertical="center" wrapText="1"/>
    </x:xf>
    <x:xf numFmtId="1" fontId="3" fillId="4" borderId="6" xfId="0" applyNumberFormat="1" applyFont="1" applyFill="1" applyBorder="1" applyAlignment="1">
      <x:alignment horizontal="center" vertical="center" wrapText="1"/>
    </x:xf>
    <x:xf numFmtId="1" fontId="3" fillId="7" borderId="6" xfId="0" applyNumberFormat="1" applyFont="1" applyFill="1" applyBorder="1" applyAlignment="1">
      <x:alignment horizontal="center" vertical="center" wrapText="1"/>
    </x:xf>
    <x:xf numFmtId="0" fontId="3" fillId="3" borderId="6" xfId="0" applyFont="1" applyFill="1" applyBorder="1" applyAlignment="1">
      <x:alignment horizontal="center" vertical="center" wrapText="1"/>
    </x:xf>
    <x:xf numFmtId="0" fontId="3" fillId="4" borderId="6" xfId="0" applyFont="1" applyFill="1" applyBorder="1" applyAlignment="1">
      <x:alignment horizontal="center" vertical="center" wrapText="1"/>
    </x:xf>
    <x:xf numFmtId="0" fontId="3" fillId="7" borderId="6" xfId="0" applyFont="1" applyFill="1" applyBorder="1" applyAlignment="1">
      <x:alignment horizontal="center" vertical="center" wrapText="1"/>
    </x:xf>
    <x:xf numFmtId="0" fontId="3" fillId="9" borderId="6" xfId="0" applyFont="1" applyFill="1" applyBorder="1" applyAlignment="1">
      <x:alignment horizontal="center" vertical="center" wrapText="1"/>
    </x:xf>
    <x:xf numFmtId="0" fontId="3" fillId="3" borderId="0" xfId="0" applyFont="1" applyFill="1" applyAlignment="1">
      <x:alignment horizontal="left" vertical="top"/>
    </x:xf>
    <x:xf numFmtId="0" fontId="3" fillId="8" borderId="0" xfId="0" applyFont="1" applyFill="1" applyAlignment="1">
      <x:alignment horizontal="left" vertical="top"/>
    </x:xf>
    <x:xf numFmtId="0" fontId="3" fillId="12" borderId="0" xfId="0" applyFont="1" applyFill="1" applyAlignment="1">
      <x:alignment horizontal="left" vertical="top"/>
    </x:xf>
    <x:xf numFmtId="0" fontId="3" fillId="13" borderId="0" xfId="0" applyFont="1" applyFill="1" applyAlignment="1">
      <x:alignment horizontal="left" vertical="top"/>
    </x:xf>
    <x:xf numFmtId="0" fontId="3" fillId="2" borderId="0" xfId="0" applyFont="1" applyFill="1" applyAlignment="1">
      <x:alignment horizontal="left" vertical="top"/>
    </x:xf>
    <x:xf numFmtId="0" fontId="3" fillId="14" borderId="0" xfId="0" applyFont="1" applyFill="1" applyAlignment="1">
      <x:alignment horizontal="left" vertical="top"/>
    </x:xf>
    <x:xf numFmtId="0" fontId="3" fillId="5" borderId="0" xfId="0" applyFont="1" applyFill="1" applyAlignment="1">
      <x:alignment horizontal="left" vertical="top"/>
    </x:xf>
    <x:xf numFmtId="0" fontId="3" fillId="15" borderId="0" xfId="0" applyFont="1" applyFill="1" applyAlignment="1">
      <x:alignment horizontal="left" vertical="top"/>
    </x:xf>
    <x:xf numFmtId="0" fontId="3" fillId="9" borderId="0" xfId="0" applyFont="1" applyFill="1" applyAlignment="1">
      <x:alignment horizontal="left" vertical="top"/>
    </x:xf>
    <x:xf numFmtId="0" fontId="3" fillId="9" borderId="6" xfId="0" applyFont="1" applyFill="1" applyBorder="1" applyAlignment="1">
      <x:alignment horizontal="left" vertical="top"/>
    </x:xf>
    <x:xf numFmtId="0" fontId="3" fillId="13" borderId="6" xfId="0" applyFont="1" applyFill="1" applyBorder="1" applyAlignment="1">
      <x:alignment horizontal="left" vertical="top"/>
    </x:xf>
    <x:xf numFmtId="0" fontId="3" fillId="12" borderId="6" xfId="0" applyFont="1" applyFill="1" applyBorder="1" applyAlignment="1">
      <x:alignment horizontal="left" vertical="top"/>
    </x:xf>
    <x:xf numFmtId="0" fontId="3" fillId="3" borderId="6" xfId="0" applyFont="1" applyFill="1" applyBorder="1" applyAlignment="1">
      <x:alignment horizontal="left" vertical="top"/>
    </x:xf>
    <x:xf numFmtId="0" fontId="3" fillId="12" borderId="6" xfId="0" applyFont="1" applyFill="1" applyBorder="1" applyAlignment="1">
      <x:alignment horizontal="center" vertical="top"/>
    </x:xf>
    <x:xf numFmtId="0" fontId="3" fillId="2" borderId="6" xfId="0" applyFont="1" applyFill="1" applyBorder="1" applyAlignment="1">
      <x:alignment horizontal="left" vertical="top"/>
    </x:xf>
    <x:xf numFmtId="0" fontId="3" fillId="0" borderId="6" xfId="0" applyFont="1" applyBorder="1"/>
    <x:xf numFmtId="0" fontId="0" fillId="0" borderId="0" xfId="0" applyAlignment="1">
      <x:alignment horizontal="center"/>
    </x:xf>
    <x:xf numFmtId="1" fontId="0" fillId="0" borderId="6" xfId="0" applyNumberFormat="1" applyBorder="1" applyAlignment="1">
      <x:alignment horizontal="center"/>
    </x:xf>
    <x:xf numFmtId="0" fontId="4" fillId="16" borderId="6" xfId="0" applyFont="1" applyFill="1" applyBorder="1" applyAlignment="1">
      <x:alignment horizontal="center" vertical="center" wrapText="1"/>
    </x:xf>
    <x:xf numFmtId="0" fontId="0" fillId="0" borderId="6" xfId="0" applyBorder="1" applyAlignment="1">
      <x:alignment horizontal="center" vertical="center" wrapText="1"/>
    </x:xf>
    <x:xf numFmtId="1" fontId="4" fillId="16" borderId="6" xfId="0" applyNumberFormat="1" applyFont="1" applyFill="1" applyBorder="1" applyAlignment="1">
      <x:alignment horizontal="center" vertical="center" wrapText="1"/>
    </x:xf>
    <x:xf numFmtId="0" fontId="3" fillId="16" borderId="6" xfId="0" applyFont="1" applyFill="1" applyBorder="1" applyAlignment="1">
      <x:alignment horizontal="left" vertical="center" wrapText="1"/>
    </x:xf>
    <x:xf numFmtId="0" fontId="3" fillId="11" borderId="6" xfId="0" applyFont="1" applyFill="1" applyBorder="1" applyAlignment="1">
      <x:alignment horizontal="left" vertical="center" wrapText="1"/>
    </x:xf>
    <x:xf numFmtId="0" fontId="3" fillId="17" borderId="6" xfId="0" applyFont="1" applyFill="1" applyBorder="1" applyAlignment="1">
      <x:alignment horizontal="center" vertical="center" wrapText="1"/>
    </x:xf>
    <x:xf numFmtId="0" fontId="3" fillId="13" borderId="6" xfId="0" applyFont="1" applyFill="1" applyBorder="1" applyAlignment="1">
      <x:alignment horizontal="center" vertical="center" wrapText="1"/>
    </x:xf>
    <x:xf numFmtId="0" fontId="3" fillId="12" borderId="6" xfId="0" applyFont="1" applyFill="1" applyBorder="1" applyAlignment="1">
      <x:alignment horizontal="center" vertical="center" wrapText="1"/>
    </x:xf>
    <x:xf numFmtId="0" fontId="3" fillId="8" borderId="6" xfId="0" applyFont="1" applyFill="1" applyBorder="1" applyAlignment="1">
      <x:alignment horizontal="center" vertical="center" wrapText="1"/>
    </x:xf>
    <x:xf numFmtId="0" fontId="3" fillId="6" borderId="6" xfId="0" applyFont="1" applyFill="1" applyBorder="1" applyAlignment="1">
      <x:alignment horizontal="center" vertical="center" wrapText="1"/>
    </x:xf>
    <x:xf numFmtId="0" fontId="3" fillId="6" borderId="0" xfId="0" applyFont="1" applyFill="1" applyAlignment="1">
      <x:alignment horizontal="left" vertical="top"/>
    </x:xf>
    <x:xf numFmtId="1" fontId="0" fillId="0" borderId="6" xfId="0" applyNumberFormat="1" applyBorder="1" applyAlignment="1">
      <x:alignment horizontal="center" vertical="center" wrapText="1"/>
    </x:xf>
    <x:xf numFmtId="0" fontId="3" fillId="6" borderId="6" xfId="0" applyFont="1" applyFill="1" applyBorder="1" applyAlignment="1">
      <x:alignment horizontal="left" vertical="top"/>
    </x:xf>
    <x:xf numFmtId="0" fontId="3" fillId="10" borderId="6" xfId="0" applyFont="1" applyFill="1" applyBorder="1" applyAlignment="1">
      <x:alignment vertical="center" wrapText="1"/>
    </x:xf>
    <x:xf numFmtId="0" fontId="3" fillId="11" borderId="6" xfId="0" applyFont="1" applyFill="1" applyBorder="1" applyAlignment="1">
      <x:alignment vertical="center" wrapText="1"/>
    </x:xf>
    <x:xf numFmtId="0" fontId="3" fillId="2" borderId="0" xfId="0" applyFont="1" applyFill="1" applyAlignment="1">
      <x:alignment horizontal="center" vertical="center"/>
    </x:xf>
    <x:xf numFmtId="0" fontId="3" fillId="3" borderId="0" xfId="0" applyFont="1" applyFill="1" applyAlignment="1">
      <x:alignment horizontal="center" vertical="center"/>
    </x:xf>
    <x:xf numFmtId="0" fontId="3" fillId="8" borderId="0" xfId="0" applyFont="1" applyFill="1" applyAlignment="1">
      <x:alignment horizontal="center" vertical="center"/>
    </x:xf>
    <x:xf numFmtId="0" fontId="3" fillId="6" borderId="0" xfId="0" applyFont="1" applyFill="1" applyAlignment="1">
      <x:alignment horizontal="center" vertical="center"/>
    </x:xf>
    <x:xf numFmtId="0" fontId="3" fillId="12" borderId="0" xfId="0" applyFont="1" applyFill="1" applyAlignment="1">
      <x:alignment horizontal="center" vertical="center"/>
    </x:xf>
    <x:xf numFmtId="0" fontId="3" fillId="13" borderId="0" xfId="0" applyFont="1" applyFill="1" applyAlignment="1">
      <x:alignment horizontal="center" vertical="center"/>
    </x:xf>
    <x:xf numFmtId="0" fontId="3" fillId="14" borderId="0" xfId="0" applyFont="1" applyFill="1" applyAlignment="1">
      <x:alignment horizontal="center" vertical="center"/>
    </x:xf>
    <x:xf numFmtId="0" fontId="3" fillId="9" borderId="0" xfId="0" applyFont="1" applyFill="1" applyAlignment="1">
      <x:alignment horizontal="center" vertical="center"/>
    </x:xf>
    <x:xf numFmtId="0" fontId="3" fillId="15" borderId="0" xfId="0" applyFont="1" applyFill="1" applyAlignment="1">
      <x:alignment horizontal="center" vertical="center"/>
    </x:xf>
    <x:xf numFmtId="0" fontId="3" fillId="5" borderId="0" xfId="0" applyFont="1" applyFill="1" applyAlignment="1">
      <x:alignment horizontal="center" vertical="center"/>
    </x:xf>
    <x:xf numFmtId="0" fontId="3" fillId="14" borderId="10" xfId="0" applyFont="1" applyFill="1" applyBorder="1" applyAlignment="1">
      <x:alignment horizontal="center" vertical="center"/>
    </x:xf>
    <x:xf numFmtId="0" fontId="3" fillId="14" borderId="5" xfId="0" applyFont="1" applyFill="1" applyBorder="1" applyAlignment="1">
      <x:alignment horizontal="center" vertical="center"/>
    </x:xf>
    <x:xf numFmtId="0" fontId="10" fillId="0" borderId="6" xfId="0" applyFont="1" applyBorder="1" applyAlignment="1">
      <x:alignment horizontal="center" vertical="center" wrapText="1"/>
    </x:xf>
    <x:xf numFmtId="0" fontId="0" fillId="0" borderId="6" xfId="0" applyBorder="1" applyAlignment="1">
      <x:alignment horizontal="center" vertical="top"/>
    </x:xf>
    <x:xf numFmtId="0" fontId="3" fillId="0" borderId="1" xfId="0" applyFont="1" applyBorder="1" applyAlignment="1">
      <x:alignment horizontal="center" vertical="center" wrapText="1"/>
    </x:xf>
    <x:xf numFmtId="0" fontId="3" fillId="0" borderId="11" xfId="0" applyFont="1" applyBorder="1" applyAlignment="1">
      <x:alignment horizontal="center" vertical="center" wrapText="1"/>
    </x:xf>
    <x:xf numFmtId="0" fontId="3" fillId="0" borderId="7" xfId="0" applyFont="1" applyBorder="1" applyAlignment="1">
      <x:alignment horizontal="center" vertical="center" wrapText="1"/>
    </x:xf>
    <x:xf numFmtId="0" fontId="4" fillId="2" borderId="11" xfId="0" applyFont="1" applyFill="1" applyBorder="1" applyAlignment="1">
      <x:alignment horizontal="center" vertical="center" wrapText="1"/>
    </x:xf>
    <x:xf numFmtId="0" fontId="4" fillId="16" borderId="7" xfId="0" applyFont="1" applyFill="1" applyBorder="1" applyAlignment="1">
      <x:alignment horizontal="center" vertical="center" wrapText="1"/>
    </x:xf>
    <x:xf numFmtId="0" fontId="3" fillId="0" borderId="3" xfId="0" applyFont="1" applyBorder="1" applyAlignment="1">
      <x:alignment horizontal="center" vertical="center" wrapText="1"/>
    </x:xf>
    <x:xf numFmtId="0" fontId="3" fillId="0" borderId="2" xfId="0" applyFont="1" applyBorder="1" applyAlignment="1">
      <x:alignment horizontal="center" vertical="center" wrapText="1"/>
    </x:xf>
    <x:xf numFmtId="0" fontId="4" fillId="2" borderId="13" xfId="0" applyFont="1" applyFill="1" applyBorder="1" applyAlignment="1">
      <x:alignment horizontal="center" vertical="center" wrapText="1"/>
    </x:xf>
    <x:xf numFmtId="0" fontId="4" fillId="2" borderId="12" xfId="0" applyFont="1" applyFill="1" applyBorder="1" applyAlignment="1">
      <x:alignment horizontal="center" vertical="center" wrapText="1"/>
    </x:xf>
    <x:xf numFmtId="0" fontId="4" fillId="18" borderId="11" xfId="0" applyFont="1" applyFill="1" applyBorder="1" applyAlignment="1">
      <x:alignment horizontal="center" vertical="center" wrapText="1"/>
    </x:xf>
    <x:xf numFmtId="0" fontId="4" fillId="16" borderId="12" xfId="0" applyFont="1" applyFill="1" applyBorder="1" applyAlignment="1">
      <x:alignment horizontal="center" vertical="center" wrapText="1"/>
    </x:xf>
    <x:xf numFmtId="0" fontId="3" fillId="8" borderId="1" xfId="0" applyFont="1" applyFill="1" applyBorder="1" applyAlignment="1">
      <x:alignment horizontal="center" vertical="center" wrapText="1"/>
    </x:xf>
    <x:xf numFmtId="0" fontId="3" fillId="3" borderId="1" xfId="0" applyFont="1" applyFill="1" applyBorder="1" applyAlignment="1">
      <x:alignment horizontal="center" vertical="center" wrapText="1"/>
    </x:xf>
    <x:xf numFmtId="1" fontId="3" fillId="3" borderId="1" xfId="0" applyNumberFormat="1" applyFont="1" applyFill="1" applyBorder="1" applyAlignment="1">
      <x:alignment horizontal="center" vertical="center" wrapText="1"/>
    </x:xf>
    <x:xf numFmtId="0" fontId="3" fillId="4" borderId="1" xfId="0" applyFont="1" applyFill="1" applyBorder="1" applyAlignment="1">
      <x:alignment horizontal="center" vertical="center" wrapText="1"/>
    </x:xf>
    <x:xf numFmtId="1" fontId="3" fillId="3" borderId="0" xfId="0" applyNumberFormat="1" applyFont="1" applyFill="1" applyAlignment="1">
      <x:alignment horizontal="center" vertical="center" wrapText="1"/>
    </x:xf>
    <x:xf numFmtId="0" fontId="4" fillId="12" borderId="7" xfId="0" applyFont="1" applyFill="1" applyBorder="1" applyAlignment="1">
      <x:alignment horizontal="center" vertical="center" wrapText="1"/>
    </x:xf>
    <x:xf numFmtId="0" fontId="0" fillId="16" borderId="7" xfId="0" applyFill="1" applyBorder="1" applyAlignment="1">
      <x:alignment horizontal="center" vertical="center" wrapText="1"/>
    </x:xf>
    <x:xf numFmtId="0" fontId="3" fillId="0" borderId="6" xfId="0" applyFont="1" applyBorder="1" applyAlignment="1">
      <x:alignment horizontal="center" vertical="center"/>
    </x:xf>
    <x:xf numFmtId="0" fontId="0" fillId="0" borderId="3" xfId="0" applyBorder="1" applyAlignment="1">
      <x:alignment horizontal="center" vertical="center" wrapText="1"/>
    </x:xf>
    <x:xf numFmtId="0" fontId="0" fillId="0" borderId="3" xfId="0" applyBorder="1" applyAlignment="1">
      <x:alignment horizontal="center" vertical="center"/>
    </x:xf>
    <x:xf numFmtId="0" fontId="0" fillId="0" borderId="2" xfId="0" applyBorder="1" applyAlignment="1">
      <x:alignment horizontal="center" vertical="center" wrapText="1"/>
    </x:xf>
    <x:xf numFmtId="0" fontId="3" fillId="9" borderId="5" xfId="0" applyFont="1" applyFill="1" applyBorder="1" applyAlignment="1">
      <x:alignment horizontal="center" vertical="center"/>
    </x:xf>
    <x:xf numFmtId="0" fontId="5" fillId="0" borderId="6" xfId="1" applyBorder="1" applyAlignment="1">
      <x:alignment horizontal="center" vertical="center" wrapText="1"/>
    </x:xf>
    <x:xf numFmtId="0" fontId="3" fillId="13" borderId="5" xfId="0" applyFont="1" applyFill="1" applyBorder="1" applyAlignment="1">
      <x:alignment horizontal="center" vertical="center"/>
    </x:xf>
    <x:xf numFmtId="0" fontId="3" fillId="12" borderId="5" xfId="0" applyFont="1" applyFill="1" applyBorder="1" applyAlignment="1">
      <x:alignment horizontal="center" vertical="center"/>
    </x:xf>
    <x:xf numFmtId="0" fontId="3" fillId="3" borderId="5" xfId="0" applyFont="1" applyFill="1" applyBorder="1" applyAlignment="1">
      <x:alignment horizontal="center" vertical="center"/>
    </x:xf>
    <x:xf numFmtId="0" fontId="3" fillId="6" borderId="5" xfId="0" applyFont="1" applyFill="1" applyBorder="1" applyAlignment="1">
      <x:alignment horizontal="center" vertical="center"/>
    </x:xf>
    <x:xf numFmtId="0" fontId="3" fillId="8" borderId="5" xfId="0" applyFont="1" applyFill="1" applyBorder="1" applyAlignment="1">
      <x:alignment horizontal="center" vertical="center"/>
    </x:xf>
    <x:xf numFmtId="0" fontId="5" fillId="0" borderId="6" xfId="1" applyFill="1" applyBorder="1" applyAlignment="1">
      <x:alignment horizontal="center" vertical="center" wrapText="1"/>
    </x:xf>
    <x:xf numFmtId="0" fontId="3" fillId="8" borderId="9" xfId="0" applyFont="1" applyFill="1" applyBorder="1" applyAlignment="1">
      <x:alignment horizontal="center" vertical="center"/>
    </x:xf>
    <x:xf numFmtId="0" fontId="5" fillId="0" borderId="1" xfId="1" applyBorder="1" applyAlignment="1">
      <x:alignment horizontal="center" vertical="center" wrapText="1"/>
    </x:xf>
    <x:xf numFmtId="0" fontId="5" fillId="0" borderId="1" xfId="1" applyFill="1" applyBorder="1" applyAlignment="1">
      <x:alignment horizontal="center" vertical="center" wrapText="1"/>
    </x:xf>
    <x:xf numFmtId="0" fontId="3" fillId="0" borderId="8" xfId="0" applyFont="1" applyBorder="1" applyAlignment="1">
      <x:alignment horizontal="center" vertical="center" wrapText="1"/>
    </x:xf>
    <x:xf numFmtId="0" fontId="3" fillId="0" borderId="12" xfId="0" applyFont="1" applyBorder="1" applyAlignment="1">
      <x:alignment horizontal="center" vertical="center" wrapText="1"/>
    </x:xf>
    <x:xf numFmtId="0" fontId="3" fillId="0" borderId="6" xfId="1" applyFont="1" applyBorder="1" applyAlignment="1">
      <x:alignment horizontal="center" vertical="center" wrapText="1"/>
    </x:xf>
    <x:xf numFmtId="0" fontId="0" fillId="0" borderId="1" xfId="0" applyBorder="1" applyAlignment="1">
      <x:alignment horizontal="center" vertical="center" wrapText="1"/>
    </x:xf>
    <x:xf numFmtId="0" fontId="0" fillId="0" borderId="7" xfId="0" applyBorder="1" applyAlignment="1">
      <x:alignment horizontal="center" vertical="center" wrapText="1"/>
    </x:xf>
    <x:xf numFmtId="1" fontId="0" fillId="0" borderId="1" xfId="0" applyNumberFormat="1" applyBorder="1" applyAlignment="1">
      <x:alignment horizontal="center" vertical="center" wrapText="1"/>
    </x:xf>
    <x:xf numFmtId="1" fontId="0" fillId="0" borderId="7" xfId="0" applyNumberFormat="1" applyBorder="1" applyAlignment="1">
      <x:alignment horizontal="center" vertical="center" wrapText="1"/>
    </x:xf>
    <x:xf numFmtId="0" fontId="0" fillId="0" borderId="11" xfId="0" applyBorder="1" applyAlignment="1">
      <x:alignment horizontal="center" vertical="center" wrapText="1"/>
    </x:xf>
    <x:xf numFmtId="0" fontId="4" fillId="2" borderId="7" xfId="0" applyFont="1" applyFill="1" applyBorder="1" applyAlignment="1">
      <x:alignment horizontal="center" vertical="center" wrapText="1"/>
    </x:xf>
    <x:xf numFmtId="1" fontId="3" fillId="4" borderId="1" xfId="0" applyNumberFormat="1" applyFont="1" applyFill="1" applyBorder="1" applyAlignment="1">
      <x:alignment horizontal="center" vertical="center" wrapText="1"/>
    </x:xf>
    <x:xf numFmtId="1" fontId="4" fillId="16" borderId="7" xfId="0" applyNumberFormat="1" applyFont="1" applyFill="1" applyBorder="1" applyAlignment="1">
      <x:alignment horizontal="center" vertical="center" wrapText="1"/>
    </x:xf>
    <x:xf numFmtId="0" fontId="4" fillId="18" borderId="7" xfId="0" applyFont="1" applyFill="1" applyBorder="1" applyAlignment="1">
      <x:alignment vertical="center" wrapText="1"/>
    </x:xf>
    <x:xf numFmtId="0" fontId="4" fillId="2" borderId="7" xfId="0" applyFont="1" applyFill="1" applyBorder="1" applyAlignment="1">
      <x:alignment vertical="center" wrapText="1"/>
    </x:xf>
    <x:xf numFmtId="0" fontId="0" fillId="0" borderId="8" xfId="0" applyBorder="1" applyAlignment="1">
      <x:alignment horizontal="center" vertical="center" wrapText="1"/>
    </x:xf>
    <x:xf numFmtId="0" fontId="4" fillId="2" borderId="13" xfId="0" applyFont="1" applyFill="1" applyBorder="1" applyAlignment="1">
      <x:alignment vertical="center" wrapText="1"/>
    </x:xf>
    <x:xf numFmtId="0" fontId="4" fillId="2" borderId="11" xfId="0" applyFont="1" applyFill="1" applyBorder="1" applyAlignment="1">
      <x:alignment vertical="center" wrapText="1"/>
    </x:xf>
    <x:xf numFmtId="0" fontId="4" fillId="2" borderId="12" xfId="0" applyFont="1" applyFill="1" applyBorder="1" applyAlignment="1">
      <x:alignment vertical="center" wrapText="1"/>
    </x:xf>
    <x:xf numFmtId="0" fontId="4" fillId="7" borderId="7" xfId="0" applyFont="1" applyFill="1" applyBorder="1" applyAlignment="1">
      <x:alignment horizontal="center" vertical="center" wrapText="1"/>
    </x:xf>
    <x:xf numFmtId="0" fontId="4" fillId="16" borderId="8" xfId="0" applyFont="1" applyFill="1" applyBorder="1" applyAlignment="1">
      <x:alignment vertical="center" wrapText="1"/>
    </x:xf>
    <x:xf numFmtId="0" fontId="3" fillId="0" borderId="1" xfId="1" applyFont="1" applyFill="1" applyBorder="1" applyAlignment="1">
      <x:alignment horizontal="center" vertical="center" wrapText="1"/>
    </x:xf>
    <x:xf numFmtId="0" fontId="0" fillId="0" borderId="15" xfId="0" applyBorder="1" applyAlignment="1">
      <x:alignment horizontal="center" vertical="center" wrapText="1"/>
    </x:xf>
    <x:xf numFmtId="0" fontId="0" fillId="0" borderId="14" xfId="0" applyBorder="1" applyAlignment="1">
      <x:alignment horizontal="center" vertical="center" wrapText="1"/>
    </x:xf>
    <x:xf numFmtId="0" fontId="9" fillId="0" borderId="0" xfId="0" applyFont="1" applyAlignment="1">
      <x:alignment horizontal="center" vertical="center" wrapText="1"/>
    </x:xf>
    <x:xf numFmtId="0" fontId="3" fillId="0" borderId="0" xfId="0" applyFont="1" applyAlignment="1">
      <x:alignment vertical="center" wrapText="1"/>
    </x:xf>
    <x:xf numFmtId="0" fontId="4" fillId="19" borderId="16" xfId="0" applyFont="1" applyFill="1" applyBorder="1" applyAlignment="1">
      <x:alignment vertical="center" wrapText="1"/>
    </x:xf>
    <x:xf numFmtId="0" fontId="3" fillId="0" borderId="0" xfId="1" applyFont="1" applyFill="1" applyBorder="1" applyAlignment="1">
      <x:alignment horizontal="center" vertical="center" wrapText="1"/>
    </x:xf>
    <x:xf numFmtId="0" fontId="0" fillId="12" borderId="7" xfId="0" applyFill="1" applyBorder="1" applyAlignment="1">
      <x:alignment horizontal="center" vertical="center" wrapText="1"/>
    </x:xf>
    <x:xf numFmtId="0" fontId="3" fillId="15" borderId="6" xfId="0" applyFont="1" applyFill="1" applyBorder="1" applyAlignment="1">
      <x:alignment horizontal="center" vertical="center"/>
    </x:xf>
    <x:xf numFmtId="0" fontId="3" fillId="3" borderId="6" xfId="0" applyFont="1" applyFill="1" applyBorder="1" applyAlignment="1">
      <x:alignment horizontal="center" vertical="center"/>
    </x:xf>
    <x:xf numFmtId="0" fontId="3" fillId="8" borderId="6" xfId="0" applyFont="1" applyFill="1" applyBorder="1" applyAlignment="1">
      <x:alignment horizontal="center" vertical="center"/>
    </x:xf>
    <x:xf numFmtId="0" fontId="3" fillId="6" borderId="6" xfId="0" applyFont="1" applyFill="1" applyBorder="1" applyAlignment="1">
      <x:alignment horizontal="center" vertical="center"/>
    </x:xf>
    <x:xf numFmtId="0" fontId="3" fillId="12" borderId="6" xfId="0" applyFont="1" applyFill="1" applyBorder="1" applyAlignment="1">
      <x:alignment horizontal="center" vertical="center"/>
    </x:xf>
    <x:xf numFmtId="0" fontId="3" fillId="2" borderId="6" xfId="0" applyFont="1" applyFill="1" applyBorder="1" applyAlignment="1">
      <x:alignment horizontal="center" vertical="center"/>
    </x:xf>
    <x:xf numFmtId="0" fontId="3" fillId="13" borderId="6" xfId="0" applyFont="1" applyFill="1" applyBorder="1" applyAlignment="1">
      <x:alignment horizontal="center" vertical="center"/>
    </x:xf>
    <x:xf numFmtId="0" fontId="3" fillId="14" borderId="6" xfId="0" applyFont="1" applyFill="1" applyBorder="1" applyAlignment="1">
      <x:alignment horizontal="center" vertical="center"/>
    </x:xf>
    <x:xf numFmtId="0" fontId="3" fillId="9" borderId="6" xfId="0" applyFont="1" applyFill="1" applyBorder="1" applyAlignment="1">
      <x:alignment horizontal="center" vertical="center"/>
    </x:xf>
    <x:xf numFmtId="0" fontId="3" fillId="5" borderId="6" xfId="0" applyFont="1" applyFill="1" applyBorder="1" applyAlignment="1">
      <x:alignment horizontal="center" vertical="center"/>
    </x:xf>
    <x:xf numFmtId="0" fontId="3" fillId="12" borderId="0" xfId="0" applyFont="1" applyFill="1" applyAlignment="1">
      <x:alignment horizontal="center" vertical="center" wrapText="1"/>
    </x:xf>
    <x:xf numFmtId="0" fontId="3" fillId="3" borderId="0" xfId="0" applyFont="1" applyFill="1" applyAlignment="1">
      <x:alignment horizontal="center" vertical="center" wrapText="1"/>
    </x:xf>
    <x:xf numFmtId="0" fontId="3" fillId="4" borderId="0" xfId="0" applyFont="1" applyFill="1" applyAlignment="1">
      <x:alignment horizontal="center" vertical="center" wrapText="1"/>
    </x:xf>
    <x:xf numFmtId="1" fontId="3" fillId="4" borderId="0" xfId="0" applyNumberFormat="1" applyFont="1" applyFill="1" applyAlignment="1">
      <x:alignment horizontal="center" vertical="center" wrapText="1"/>
    </x:xf>
    <x:xf numFmtId="0" fontId="0" fillId="0" borderId="17" xfId="0" applyBorder="1" applyAlignment="1">
      <x:alignment vertical="center" wrapText="1"/>
    </x:xf>
    <x:xf numFmtId="0" fontId="0" fillId="0" borderId="19" xfId="0" applyBorder="1" applyAlignment="1">
      <x:alignment vertical="center" wrapText="1"/>
    </x:xf>
    <x:xf numFmtId="0" fontId="0" fillId="0" borderId="4" xfId="0" applyBorder="1" applyAlignment="1">
      <x:alignment horizontal="center" vertical="center" wrapText="1"/>
    </x:xf>
    <x:xf numFmtId="0" fontId="0" fillId="21" borderId="20" xfId="0" applyFill="1" applyBorder="1" applyAlignment="1">
      <x:alignment horizontal="center"/>
    </x:xf>
    <x:xf numFmtId="0" fontId="0" fillId="0" borderId="18" xfId="0" applyBorder="1" applyAlignment="1">
      <x:alignment horizontal="center" vertical="center" wrapText="1"/>
    </x:xf>
    <x:xf numFmtId="0" fontId="0" fillId="21" borderId="0" xfId="0" applyFill="1"/>
    <x:xf numFmtId="0" fontId="0" fillId="21" borderId="0" xfId="0" applyFill="1" applyAlignment="1">
      <x:alignment horizontal="center"/>
    </x:xf>
    <x:xf numFmtId="0" fontId="0" fillId="0" borderId="19" xfId="0" applyBorder="1"/>
    <x:xf numFmtId="0" fontId="0" fillId="0" borderId="4" xfId="0" applyBorder="1" applyAlignment="1">
      <x:alignment horizontal="center"/>
    </x:xf>
    <x:xf numFmtId="0" fontId="1" fillId="0" borderId="18" xfId="0" applyFont="1" applyBorder="1" applyAlignment="1">
      <x:alignment horizontal="center"/>
    </x:xf>
    <x:xf numFmtId="0" fontId="3" fillId="19" borderId="9" xfId="0" applyFont="1" applyFill="1" applyBorder="1" applyAlignment="1">
      <x:alignment horizontal="center" vertical="center"/>
    </x:xf>
    <x:xf numFmtId="0" fontId="3" fillId="9" borderId="9" xfId="0" applyFont="1" applyFill="1" applyBorder="1" applyAlignment="1">
      <x:alignment horizontal="center" vertical="center"/>
    </x:xf>
    <x:xf numFmtId="0" fontId="3" fillId="7" borderId="9" xfId="0" applyFont="1" applyFill="1" applyBorder="1" applyAlignment="1">
      <x:alignment horizontal="center" vertical="center"/>
    </x:xf>
    <x:xf numFmtId="0" fontId="12" fillId="0" borderId="1" xfId="0" applyFont="1" applyBorder="1" applyAlignment="1">
      <x:alignment horizontal="center" vertical="center" wrapText="1"/>
    </x:xf>
    <x:xf numFmtId="0" fontId="14" fillId="0" borderId="0" xfId="0" applyFont="1" applyAlignment="1">
      <x:alignment horizontal="center" vertical="center"/>
    </x:xf>
    <x:xf numFmtId="0" fontId="3" fillId="0" borderId="6" xfId="1" applyFont="1" applyFill="1" applyBorder="1" applyAlignment="1">
      <x:alignment horizontal="center" vertical="center" wrapText="1"/>
    </x:xf>
    <x:xf numFmtId="0" fontId="3" fillId="0" borderId="21" xfId="0" applyFont="1" applyBorder="1" applyAlignment="1">
      <x:alignment horizontal="center" vertical="top"/>
    </x:xf>
    <x:xf numFmtId="0" fontId="3" fillId="0" borderId="21" xfId="0" applyFont="1" applyBorder="1" applyAlignment="1">
      <x:alignment vertical="top" wrapText="1"/>
    </x:xf>
    <x:xf numFmtId="0" fontId="3" fillId="0" borderId="21" xfId="0" applyFont="1" applyBorder="1" applyAlignment="1">
      <x:alignment horizontal="center" vertical="center" wrapText="1"/>
    </x:xf>
    <x:xf numFmtId="0" fontId="3" fillId="0" borderId="21" xfId="0" applyFont="1" applyBorder="1" applyAlignment="1">
      <x:alignment horizontal="left" vertical="center" wrapText="1"/>
    </x:xf>
    <x:xf numFmtId="0" fontId="11" fillId="0" borderId="21" xfId="0" applyFont="1" applyBorder="1" applyAlignment="1">
      <x:alignment wrapText="1"/>
    </x:xf>
    <x:xf numFmtId="0" fontId="3" fillId="12" borderId="21" xfId="0" applyFont="1" applyFill="1" applyBorder="1" applyAlignment="1">
      <x:alignment horizontal="center" vertical="center" wrapText="1"/>
    </x:xf>
    <x:xf numFmtId="0" fontId="3" fillId="3" borderId="21" xfId="0" applyFont="1" applyFill="1" applyBorder="1" applyAlignment="1">
      <x:alignment horizontal="center" vertical="center" wrapText="1"/>
    </x:xf>
    <x:xf numFmtId="0" fontId="3" fillId="4" borderId="21" xfId="0" applyFont="1" applyFill="1" applyBorder="1" applyAlignment="1">
      <x:alignment horizontal="center" vertical="center" wrapText="1"/>
    </x:xf>
    <x:xf numFmtId="1" fontId="3" fillId="4" borderId="21" xfId="0" applyNumberFormat="1" applyFont="1" applyFill="1" applyBorder="1" applyAlignment="1">
      <x:alignment horizontal="center" vertical="center" wrapText="1"/>
    </x:xf>
    <x:xf numFmtId="0" fontId="0" fillId="0" borderId="21" xfId="0" applyBorder="1" applyAlignment="1">
      <x:alignment horizontal="center" vertical="center" wrapText="1"/>
    </x:xf>
    <x:xf numFmtId="1" fontId="0" fillId="0" borderId="21" xfId="0" applyNumberFormat="1" applyBorder="1" applyAlignment="1">
      <x:alignment horizontal="center" vertical="center" wrapText="1"/>
    </x:xf>
    <x:xf numFmtId="0" fontId="3" fillId="0" borderId="21" xfId="0" applyFont="1" applyBorder="1" applyAlignment="1">
      <x:alignment horizontal="left" vertical="top"/>
    </x:xf>
    <x:xf numFmtId="0" fontId="3" fillId="0" borderId="1" xfId="0" applyFont="1" applyBorder="1" applyAlignment="1">
      <x:alignment vertical="top" wrapText="1"/>
    </x:xf>
    <x:xf numFmtId="0" fontId="3" fillId="0" borderId="1" xfId="0" applyFont="1" applyBorder="1" applyAlignment="1">
      <x:alignment horizontal="left" vertical="center" wrapText="1"/>
    </x:xf>
    <x:xf numFmtId="0" fontId="11" fillId="0" borderId="1" xfId="0" applyFont="1" applyBorder="1" applyAlignment="1">
      <x:alignment wrapText="1"/>
    </x:xf>
    <x:xf numFmtId="0" fontId="3" fillId="0" borderId="22" xfId="0" applyFont="1" applyBorder="1" applyAlignment="1">
      <x:alignment vertical="top" wrapText="1"/>
    </x:xf>
    <x:xf numFmtId="0" fontId="3" fillId="0" borderId="22" xfId="0" applyFont="1" applyBorder="1" applyAlignment="1">
      <x:alignment horizontal="center" vertical="center" wrapText="1"/>
    </x:xf>
    <x:xf numFmtId="0" fontId="15" fillId="0" borderId="22" xfId="0" applyFont="1" applyBorder="1" applyAlignment="1">
      <x:alignment vertical="top" wrapText="1"/>
    </x:xf>
    <x:xf numFmtId="0" fontId="3" fillId="0" borderId="22" xfId="0" applyFont="1" applyBorder="1" applyAlignment="1">
      <x:alignment horizontal="left" vertical="center" wrapText="1"/>
    </x:xf>
    <x:xf numFmtId="0" fontId="11" fillId="0" borderId="22" xfId="0" applyFont="1" applyBorder="1" applyAlignment="1">
      <x:alignment wrapText="1"/>
    </x:xf>
    <x:xf numFmtId="0" fontId="3" fillId="12" borderId="22" xfId="0" applyFont="1" applyFill="1" applyBorder="1" applyAlignment="1">
      <x:alignment horizontal="center" vertical="center" wrapText="1"/>
    </x:xf>
    <x:xf numFmtId="0" fontId="3" fillId="3" borderId="22" xfId="0" applyFont="1" applyFill="1" applyBorder="1" applyAlignment="1">
      <x:alignment horizontal="center" vertical="center" wrapText="1"/>
    </x:xf>
    <x:xf numFmtId="0" fontId="3" fillId="4" borderId="22" xfId="0" applyFont="1" applyFill="1" applyBorder="1" applyAlignment="1">
      <x:alignment horizontal="center" vertical="center" wrapText="1"/>
    </x:xf>
    <x:xf numFmtId="1" fontId="3" fillId="4" borderId="22" xfId="0" applyNumberFormat="1" applyFont="1" applyFill="1" applyBorder="1" applyAlignment="1">
      <x:alignment horizontal="center" vertical="center" wrapText="1"/>
    </x:xf>
    <x:xf numFmtId="0" fontId="0" fillId="0" borderId="22" xfId="0" applyBorder="1" applyAlignment="1">
      <x:alignment horizontal="center" vertical="center" wrapText="1"/>
    </x:xf>
    <x:xf numFmtId="1" fontId="0" fillId="0" borderId="22" xfId="0" applyNumberFormat="1" applyBorder="1" applyAlignment="1">
      <x:alignment horizontal="center" vertical="center" wrapText="1"/>
    </x:xf>
    <x:xf numFmtId="0" fontId="3" fillId="0" borderId="22" xfId="0" applyFont="1" applyBorder="1" applyAlignment="1">
      <x:alignment horizontal="left" vertical="top"/>
    </x:xf>
    <x:xf numFmtId="0" fontId="3" fillId="0" borderId="22" xfId="0" applyFont="1" applyBorder="1" applyAlignment="1">
      <x:alignment vertical="center" wrapText="1"/>
    </x:xf>
    <x:xf numFmtId="0" fontId="15" fillId="0" borderId="22" xfId="0" applyFont="1" applyBorder="1"/>
    <x:xf numFmtId="0" fontId="3" fillId="0" borderId="23" xfId="0" applyFont="1" applyBorder="1" applyAlignment="1">
      <x:alignment vertical="top" wrapText="1"/>
    </x:xf>
    <x:xf numFmtId="0" fontId="3" fillId="0" borderId="24" xfId="0" applyFont="1" applyBorder="1" applyAlignment="1">
      <x:alignment horizontal="center" vertical="center" wrapText="1"/>
    </x:xf>
    <x:xf numFmtId="0" fontId="3" fillId="0" borderId="25" xfId="0" applyFont="1" applyBorder="1" applyAlignment="1">
      <x:alignment vertical="top" wrapText="1"/>
    </x:xf>
    <x:xf numFmtId="0" fontId="3" fillId="8" borderId="21" xfId="0" applyFont="1" applyFill="1" applyBorder="1" applyAlignment="1">
      <x:alignment horizontal="center" vertical="top"/>
    </x:xf>
    <x:xf numFmtId="0" fontId="3" fillId="6" borderId="21" xfId="0" applyFont="1" applyFill="1" applyBorder="1" applyAlignment="1">
      <x:alignment horizontal="center" vertical="top"/>
    </x:xf>
    <x:xf numFmtId="0" fontId="3" fillId="2" borderId="21" xfId="0" applyFont="1" applyFill="1" applyBorder="1" applyAlignment="1">
      <x:alignment horizontal="center" vertical="top"/>
    </x:xf>
    <x:xf numFmtId="0" fontId="3" fillId="12" borderId="21" xfId="0" applyFont="1" applyFill="1" applyBorder="1" applyAlignment="1">
      <x:alignment horizontal="center" vertical="top"/>
    </x:xf>
    <x:xf numFmtId="0" fontId="3" fillId="0" borderId="9" xfId="0" applyFont="1" applyBorder="1" applyAlignment="1">
      <x:alignment vertical="top" wrapText="1"/>
    </x:xf>
    <x:xf numFmtId="0" fontId="3" fillId="0" borderId="5" xfId="0" applyFont="1" applyBorder="1" applyAlignment="1">
      <x:alignment vertical="top" wrapText="1"/>
    </x:xf>
    <x:xf numFmtId="0" fontId="3" fillId="13" borderId="21" xfId="0" applyFont="1" applyFill="1" applyBorder="1" applyAlignment="1">
      <x:alignment horizontal="center" vertical="top"/>
    </x:xf>
    <x:xf numFmtId="0" fontId="3" fillId="9" borderId="21" xfId="0" applyFont="1" applyFill="1" applyBorder="1" applyAlignment="1">
      <x:alignment horizontal="center" vertical="top"/>
    </x:xf>
    <x:xf numFmtId="0" fontId="3" fillId="8" borderId="1" xfId="0" applyFont="1" applyFill="1" applyBorder="1" applyAlignment="1">
      <x:alignment horizontal="center" vertical="top"/>
    </x:xf>
    <x:xf numFmtId="0" fontId="3" fillId="8" borderId="22" xfId="0" applyFont="1" applyFill="1" applyBorder="1" applyAlignment="1">
      <x:alignment horizontal="center" vertical="top"/>
    </x:xf>
    <x:xf numFmtId="0" fontId="3" fillId="0" borderId="26" xfId="0" applyFont="1" applyBorder="1" applyAlignment="1">
      <x:alignment horizontal="center" vertical="center" wrapText="1"/>
    </x:xf>
    <x:xf numFmtId="0" fontId="0" fillId="0" borderId="22" xfId="0" applyBorder="1" applyAlignment="1">
      <x:alignment vertical="top" wrapText="1"/>
    </x:xf>
    <x:xf numFmtId="0" fontId="3" fillId="0" borderId="25" xfId="0" applyFont="1" applyBorder="1" applyAlignment="1">
      <x:alignment horizontal="left" vertical="center" wrapText="1"/>
    </x:xf>
    <x:xf numFmtId="0" fontId="0" fillId="0" borderId="21" xfId="0" applyBorder="1" applyAlignment="1">
      <x:alignment vertical="top" wrapText="1"/>
    </x:xf>
    <x:xf numFmtId="0" fontId="12" fillId="0" borderId="21" xfId="0" applyFont="1" applyBorder="1" applyAlignment="1">
      <x:alignment vertical="top" wrapText="1"/>
    </x:xf>
    <x:xf numFmtId="0" fontId="3" fillId="6" borderId="0" xfId="0" applyFont="1" applyFill="1" applyAlignment="1">
      <x:alignment horizontal="center" vertical="top"/>
    </x:xf>
    <x:xf numFmtId="0" fontId="3" fillId="8" borderId="0" xfId="0" applyFont="1" applyFill="1" applyAlignment="1">
      <x:alignment horizontal="center" vertical="center" wrapText="1"/>
    </x:xf>
    <x:xf numFmtId="0" fontId="0" fillId="0" borderId="0" xfId="0" applyAlignment="1">
      <x:alignment horizontal="center" vertical="center" wrapText="1"/>
    </x:xf>
    <x:xf numFmtId="0" fontId="3" fillId="0" borderId="0" xfId="0" applyFont="1" applyAlignment="1">
      <x:alignment horizontal="center" vertical="center"/>
    </x:xf>
    <x:xf numFmtId="0" fontId="3" fillId="0" borderId="27" xfId="0" applyFont="1" applyBorder="1" applyAlignment="1">
      <x:alignment horizontal="center" vertical="center"/>
    </x:xf>
    <x:xf numFmtId="0" fontId="3" fillId="0" borderId="23" xfId="0" applyFont="1" applyBorder="1" applyAlignment="1">
      <x:alignment horizontal="left" vertical="top" wrapText="1"/>
    </x:xf>
    <x:xf numFmtId="0" fontId="4" fillId="13" borderId="3" xfId="0" applyFont="1" applyFill="1" applyBorder="1" applyAlignment="1">
      <x:alignment horizontal="center" vertical="center"/>
    </x:xf>
    <x:xf numFmtId="0" fontId="4" fillId="13" borderId="4" xfId="0" applyFont="1" applyFill="1" applyBorder="1" applyAlignment="1">
      <x:alignment horizontal="center" vertical="center"/>
    </x:xf>
    <x:xf numFmtId="0" fontId="4" fillId="13" borderId="5" xfId="0" applyFont="1" applyFill="1" applyBorder="1" applyAlignment="1">
      <x:alignment horizontal="center" vertical="center"/>
    </x:xf>
    <x:xf numFmtId="0" fontId="4" fillId="0" borderId="3" xfId="0" applyFont="1" applyBorder="1" applyAlignment="1">
      <x:alignment horizontal="center" vertical="center" wrapText="1"/>
    </x:xf>
    <x:xf numFmtId="0" fontId="4" fillId="0" borderId="4" xfId="0" applyFont="1" applyBorder="1" applyAlignment="1">
      <x:alignment horizontal="center" vertical="center" wrapText="1"/>
    </x:xf>
    <x:xf numFmtId="0" fontId="4" fillId="0" borderId="5" xfId="0" applyFont="1" applyBorder="1" applyAlignment="1">
      <x:alignment horizontal="center" vertical="center" wrapText="1"/>
    </x:xf>
    <x:xf numFmtId="0" fontId="3" fillId="0" borderId="0" xfId="0" applyFont="1" applyAlignment="1">
      <x:alignment horizontal="left" vertical="center" wrapText="1"/>
    </x:xf>
    <x:xf numFmtId="0" fontId="8" fillId="0" borderId="0" xfId="0" applyFont="1" applyAlignment="1">
      <x:alignment horizontal="center" vertical="top" wrapText="1"/>
    </x:xf>
    <x:xf numFmtId="0" fontId="4" fillId="2" borderId="1" xfId="0" applyFont="1" applyFill="1" applyBorder="1" applyAlignment="1">
      <x:alignment horizontal="center" vertical="center" wrapText="1"/>
    </x:xf>
    <x:xf numFmtId="0" fontId="4" fillId="2" borderId="7" xfId="0" applyFont="1" applyFill="1" applyBorder="1" applyAlignment="1">
      <x:alignment horizontal="center" vertical="center" wrapText="1"/>
    </x:xf>
    <x:xf numFmtId="0" fontId="4" fillId="2" borderId="9" xfId="0" applyFont="1" applyFill="1" applyBorder="1" applyAlignment="1">
      <x:alignment horizontal="center" vertical="center" wrapText="1"/>
    </x:xf>
    <x:xf numFmtId="0" fontId="4" fillId="2" borderId="10" xfId="0" applyFont="1" applyFill="1" applyBorder="1" applyAlignment="1">
      <x:alignment horizontal="center" vertical="center" wrapText="1"/>
    </x:xf>
    <x:xf numFmtId="0" fontId="4" fillId="2" borderId="3" xfId="0" applyFont="1" applyFill="1" applyBorder="1" applyAlignment="1">
      <x:alignment horizontal="center" vertical="center" wrapText="1"/>
    </x:xf>
    <x:xf numFmtId="0" fontId="4" fillId="2" borderId="4" xfId="0" applyFont="1" applyFill="1" applyBorder="1" applyAlignment="1">
      <x:alignment horizontal="center" vertical="center" wrapText="1"/>
    </x:xf>
    <x:xf numFmtId="0" fontId="4" fillId="2" borderId="5" xfId="0" applyFont="1" applyFill="1" applyBorder="1" applyAlignment="1">
      <x:alignment horizontal="center" vertical="center" wrapText="1"/>
    </x:xf>
    <x:xf numFmtId="0" fontId="4" fillId="18" borderId="1" xfId="0" applyFont="1" applyFill="1" applyBorder="1" applyAlignment="1">
      <x:alignment horizontal="center" vertical="center" wrapText="1"/>
    </x:xf>
    <x:xf numFmtId="0" fontId="4" fillId="18" borderId="7" xfId="0" applyFont="1" applyFill="1" applyBorder="1" applyAlignment="1">
      <x:alignment horizontal="center" vertical="center" wrapText="1"/>
    </x:xf>
    <x:xf numFmtId="0" fontId="4" fillId="7" borderId="6" xfId="0" applyFont="1" applyFill="1" applyBorder="1" applyAlignment="1">
      <x:alignment horizontal="center" vertical="center" wrapText="1"/>
    </x:xf>
    <x:xf numFmtId="0" fontId="4" fillId="16" borderId="3" xfId="0" applyFont="1" applyFill="1" applyBorder="1" applyAlignment="1">
      <x:alignment horizontal="center" vertical="center" wrapText="1"/>
    </x:xf>
    <x:xf numFmtId="0" fontId="4" fillId="16" borderId="5" xfId="0" applyFont="1" applyFill="1" applyBorder="1" applyAlignment="1">
      <x:alignment horizontal="center" vertical="center" wrapText="1"/>
    </x:xf>
    <x:xf numFmtId="0" fontId="4" fillId="16" borderId="1" xfId="0" applyFont="1" applyFill="1" applyBorder="1" applyAlignment="1">
      <x:alignment horizontal="center" vertical="center" wrapText="1"/>
    </x:xf>
    <x:xf numFmtId="0" fontId="4" fillId="16" borderId="7" xfId="0" applyFont="1" applyFill="1" applyBorder="1" applyAlignment="1">
      <x:alignment horizontal="center" vertical="center" wrapText="1"/>
    </x:xf>
    <x:xf numFmtId="0" fontId="0" fillId="0" borderId="1" xfId="0" applyBorder="1" applyAlignment="1">
      <x:alignment horizontal="center" vertical="center" wrapText="1"/>
    </x:xf>
    <x:xf numFmtId="0" fontId="0" fillId="0" borderId="11" xfId="0" applyBorder="1" applyAlignment="1">
      <x:alignment horizontal="center" vertical="center" wrapText="1"/>
    </x:xf>
    <x:xf numFmtId="0" fontId="0" fillId="0" borderId="7" xfId="0" applyBorder="1" applyAlignment="1">
      <x:alignment horizontal="center" vertical="center" wrapText="1"/>
    </x:xf>
    <x:xf numFmtId="0" fontId="4" fillId="13" borderId="6" xfId="0" applyFont="1" applyFill="1" applyBorder="1" applyAlignment="1">
      <x:alignment horizontal="center" vertical="center" wrapText="1"/>
    </x:xf>
    <x:xf numFmtId="0" fontId="2" fillId="0" borderId="0" xfId="0" applyFont="1" applyAlignment="1">
      <x:alignment horizontal="center" vertical="top"/>
    </x:xf>
    <x:xf numFmtId="0" fontId="4" fillId="2" borderId="11" xfId="0" applyFont="1" applyFill="1" applyBorder="1" applyAlignment="1">
      <x:alignment horizontal="center" vertical="center" wrapText="1"/>
    </x:xf>
    <x:xf numFmtId="0" fontId="4" fillId="2" borderId="6" xfId="0" applyFont="1" applyFill="1" applyBorder="1" applyAlignment="1">
      <x:alignment horizontal="center" vertical="center" wrapText="1"/>
    </x:xf>
    <x:xf numFmtId="0" fontId="1" fillId="20" borderId="17" xfId="0" applyFont="1" applyFill="1" applyBorder="1" applyAlignment="1">
      <x:alignment horizontal="center" vertical="center" wrapText="1"/>
    </x:xf>
    <x:xf numFmtId="0" fontId="1" fillId="20" borderId="18" xfId="0" applyFont="1" applyFill="1" applyBorder="1" applyAlignment="1">
      <x:alignment horizontal="center" vertical="center" wrapText="1"/>
    </x:xf>
    <x:xf numFmtId="0" fontId="17" fillId="0" borderId="0" xfId="0" applyNumberFormat="1" applyFont="1" applyFill="1" applyBorder="1"/>
    <x:xf numFmtId="0" fontId="17" fillId="0" borderId="0" xfId="0" applyNumberFormat="1" applyFont="1" applyFill="1" applyBorder="1" applyAlignment="1">
      <x:alignment vertical="center"/>
    </x:xf>
    <x:xf numFmtId="0" fontId="17" fillId="22" borderId="0" xfId="0" applyNumberFormat="1" applyFont="1" applyFill="1" applyBorder="1" applyAlignment="1">
      <x:alignment vertical="center"/>
    </x:xf>
    <x:xf numFmtId="0" fontId="18" fillId="22" borderId="0" xfId="0" applyNumberFormat="1" applyFont="1" applyFill="1" applyBorder="1" applyAlignment="1">
      <x:alignment vertical="center"/>
    </x:xf>
    <x:xf numFmtId="0" fontId="18" fillId="22" borderId="28" xfId="0" applyNumberFormat="1" applyFont="1" applyFill="1" applyBorder="1" applyAlignment="1">
      <x:alignment vertical="center"/>
    </x:xf>
    <x:xf numFmtId="0" fontId="18" fillId="22" borderId="29" xfId="0" applyNumberFormat="1" applyFont="1" applyFill="1" applyBorder="1" applyAlignment="1">
      <x:alignment vertical="center"/>
    </x:xf>
    <x:xf numFmtId="0" fontId="18" fillId="22" borderId="30" xfId="0" applyNumberFormat="1" applyFont="1" applyFill="1" applyBorder="1" applyAlignment="1">
      <x:alignment vertical="center"/>
    </x:xf>
    <x:xf numFmtId="0" fontId="18" fillId="22" borderId="28" xfId="0" applyNumberFormat="1" applyFont="1" applyFill="1" applyBorder="1" applyAlignment="1">
      <x:alignment vertical="center" wrapText="1"/>
    </x:xf>
    <x:xf numFmtId="0" fontId="18" fillId="22" borderId="29" xfId="0" applyNumberFormat="1" applyFont="1" applyFill="1" applyBorder="1" applyAlignment="1">
      <x:alignment vertical="center" wrapText="1"/>
    </x:xf>
    <x:xf numFmtId="0" fontId="18" fillId="22" borderId="30" xfId="0" applyNumberFormat="1" applyFont="1" applyFill="1" applyBorder="1" applyAlignment="1">
      <x:alignment vertical="center" wrapText="1"/>
    </x:xf>
    <x:xf numFmtId="0" fontId="18" fillId="22" borderId="28" xfId="0" applyNumberFormat="1" applyFont="1" applyFill="1" applyBorder="1" applyAlignment="1">
      <x:alignment horizontal="center" vertical="center" wrapText="1"/>
    </x:xf>
    <x:xf numFmtId="0" fontId="18" fillId="22" borderId="29" xfId="0" applyNumberFormat="1" applyFont="1" applyFill="1" applyBorder="1" applyAlignment="1">
      <x:alignment horizontal="center" vertical="center" wrapText="1"/>
    </x:xf>
    <x:xf numFmtId="0" fontId="18" fillId="22" borderId="30" xfId="0" applyNumberFormat="1" applyFont="1" applyFill="1" applyBorder="1" applyAlignment="1">
      <x:alignment horizontal="center" vertical="center" wrapText="1"/>
    </x:xf>
    <x:xf numFmtId="0" fontId="17" fillId="0" borderId="0" xfId="0" applyNumberFormat="1" applyFont="1" applyFill="1" applyBorder="1" applyAlignment="1">
      <x:alignment vertical="center" wrapText="1"/>
    </x:xf>
    <x:xf numFmtId="0" fontId="17" fillId="0" borderId="31" xfId="0" applyNumberFormat="1" applyFont="1" applyFill="1" applyBorder="1" applyAlignment="1">
      <x:alignment vertical="center" wrapText="1"/>
    </x:xf>
    <x:xf numFmtId="0" fontId="17" fillId="0" borderId="31" xfId="0" applyNumberFormat="1" applyFont="1" applyFill="1" applyBorder="1" applyAlignment="1">
      <x:alignment vertical="center"/>
    </x:xf>
    <x:xf numFmtId="0" fontId="17" fillId="0" borderId="32" xfId="0" applyNumberFormat="1" applyFont="1" applyFill="1" applyBorder="1" applyAlignment="1">
      <x:alignment vertical="center" wrapText="1"/>
    </x:xf>
    <x:xf numFmtId="0" fontId="17" fillId="0" borderId="32" xfId="0" applyNumberFormat="1" applyFont="1" applyFill="1" applyBorder="1" applyAlignment="1">
      <x:alignment vertical="center"/>
    </x:xf>
    <x:xf numFmtId="0" fontId="17" fillId="0" borderId="33" xfId="0" applyNumberFormat="1" applyFont="1" applyFill="1" applyBorder="1" applyAlignment="1">
      <x:alignment vertical="center" wrapText="1"/>
    </x:xf>
    <x:xf numFmtId="0" fontId="17" fillId="0" borderId="33" xfId="0" applyNumberFormat="1" applyFont="1" applyFill="1" applyBorder="1" applyAlignment="1">
      <x:alignment vertical="center"/>
    </x:xf>
    <x:xf numFmtId="200" fontId="17" fillId="0" borderId="31" xfId="0" applyNumberFormat="1" applyFont="1" applyFill="1" applyBorder="1" applyAlignment="1">
      <x:alignment vertical="center"/>
    </x:xf>
    <x:xf numFmtId="200" fontId="17" fillId="0" borderId="32" xfId="0" applyNumberFormat="1" applyFont="1" applyFill="1" applyBorder="1" applyAlignment="1">
      <x:alignment vertical="center"/>
    </x:xf>
    <x:xf numFmtId="200" fontId="17" fillId="0" borderId="33" xfId="0" applyNumberFormat="1" applyFont="1" applyFill="1" applyBorder="1" applyAlignment="1">
      <x:alignment vertical="center"/>
    </x:xf>
    <x:xf numFmtId="201" fontId="17" fillId="0" borderId="31" xfId="0" applyNumberFormat="1" applyFont="1" applyFill="1" applyBorder="1" applyAlignment="1">
      <x:alignment vertical="center"/>
    </x:xf>
    <x:xf numFmtId="201" fontId="17" fillId="0" borderId="32" xfId="0" applyNumberFormat="1" applyFont="1" applyFill="1" applyBorder="1" applyAlignment="1">
      <x:alignment vertical="center"/>
    </x:xf>
    <x:xf numFmtId="201" fontId="17" fillId="0" borderId="33" xfId="0" applyNumberFormat="1" applyFont="1" applyFill="1" applyBorder="1" applyAlignment="1">
      <x:alignment vertical="center"/>
    </x:xf>
  </x:cellXfs>
  <x:cellStyles count="2">
    <x:cellStyle name="Hipervínculo" xfId="1"/>
    <x:cellStyle name="Normal" xfId="0"/>
  </x:cellStyles>
  <x:dxfs count="98">
    <x:dxf>
      <x:font>
        <x:color theme="1"/>
      </x:font>
      <x:fill>
        <x:patternFill>
          <x:bgColor rgb="FFFFFF00"/>
        </x:patternFill>
      </x:fill>
    </x:dxf>
    <x:dxf>
      <x:fill>
        <x:patternFill>
          <x:bgColor theme="7" tint="0.39995"/>
        </x:patternFill>
      </x:fill>
    </x:dxf>
    <x:dxf>
      <x:font>
        <x:color rgb="FF9C0006"/>
      </x:font>
      <x:fill>
        <x:patternFill>
          <x:bgColor rgb="FFFFC7CE"/>
        </x:patternFill>
      </x:fill>
    </x:dxf>
    <x:dxf>
      <x:font>
        <x:color rgb="FF006100"/>
      </x:font>
      <x:fill>
        <x:patternFill>
          <x:bgColor rgb="FFC6EFCE"/>
        </x:patternFill>
      </x:fill>
    </x:dxf>
    <x:dxf>
      <x:border>
        <x:left style="thin">
          <x:color indexed="64"/>
        </x:left>
        <x:right/>
        <x:top style="thin">
          <x:color indexed="64"/>
        </x:top>
        <x:bottom style="thin">
          <x:color indexed="64"/>
        </x:bottom>
      </x:border>
    </x:dxf>
    <x:dxf>
      <x:font>
        <x:u val="none"/>
        <x:sz val="11"/>
        <x:color auto="1"/>
        <x:name val="Calibri"/>
        <x:family val="2"/>
        <x:scheme val="minor"/>
      </x:font>
      <x:border>
        <x:left style="thin">
          <x:color indexed="64"/>
        </x:left>
        <x:right style="thin">
          <x:color indexed="64"/>
        </x:right>
        <x:top/>
        <x:bottom style="thin">
          <x:color indexed="64"/>
        </x:bottom>
      </x:border>
    </x:dxf>
    <x:dxf>
      <x:font>
        <x:u val="none"/>
        <x:sz val="11"/>
        <x:color auto="1"/>
        <x:name val="Calibri"/>
        <x:family val="2"/>
        <x:scheme val="minor"/>
      </x:font>
      <x:border>
        <x:left style="thin">
          <x:color indexed="64"/>
        </x:left>
        <x:right style="thin">
          <x:color indexed="64"/>
        </x:right>
        <x:top/>
        <x:bottom style="thin">
          <x:color indexed="64"/>
        </x:bottom>
      </x:border>
    </x:dxf>
    <x:dxf>
      <x:font>
        <x:u val="none"/>
        <x:sz val="11"/>
        <x:color auto="1"/>
        <x:name val="Calibri"/>
        <x:family val="2"/>
        <x:scheme val="minor"/>
      </x:font>
      <x:border>
        <x:left style="thin">
          <x:color indexed="64"/>
        </x:left>
        <x:right style="thin">
          <x:color indexed="64"/>
        </x:right>
        <x:top/>
        <x:bottom style="thin">
          <x:color indexed="64"/>
        </x:bottom>
      </x:border>
    </x:dxf>
    <x:dxf>
      <x:font>
        <x:u val="none"/>
        <x:sz val="11"/>
        <x:color auto="1"/>
        <x:name val="Calibri"/>
        <x:family val="2"/>
        <x:scheme val="minor"/>
      </x:font>
      <x:border>
        <x:left style="thin">
          <x:color indexed="64"/>
        </x:left>
        <x:right style="thin">
          <x:color indexed="64"/>
        </x:right>
        <x:top/>
        <x:bottom style="thin">
          <x:color indexed="64"/>
        </x:bottom>
      </x:border>
    </x:dxf>
    <x:dxf>
      <x:font>
        <x:u val="none"/>
        <x:sz val="11"/>
        <x:color auto="1"/>
        <x:name val="Calibri"/>
        <x:family val="2"/>
        <x:scheme val="minor"/>
      </x:font>
      <x:border>
        <x:left style="thin">
          <x:color indexed="64"/>
        </x:left>
        <x:right style="thin">
          <x:color indexed="64"/>
        </x:right>
        <x:top/>
        <x:bottom style="thin">
          <x:color indexed="64"/>
        </x:bottom>
      </x:border>
    </x:dxf>
    <x:dxf>
      <x:font>
        <x:u val="none"/>
        <x:sz val="11"/>
        <x:color auto="1"/>
        <x:name val="Calibri"/>
        <x:family val="2"/>
        <x:scheme val="minor"/>
      </x:font>
      <x:border>
        <x:left style="thin">
          <x:color indexed="64"/>
        </x:left>
        <x:right style="thin">
          <x:color indexed="64"/>
        </x:right>
        <x:top/>
        <x:bottom style="thin">
          <x:color indexed="64"/>
        </x:bottom>
      </x:border>
    </x:dxf>
    <x:dxf>
      <x:font>
        <x:u val="none"/>
        <x:sz val="11"/>
        <x:color auto="1"/>
        <x:name val="Calibri"/>
        <x:family val="2"/>
        <x:scheme val="minor"/>
      </x:font>
      <x:border>
        <x:left style="thin">
          <x:color indexed="64"/>
        </x:left>
        <x:right style="thin">
          <x:color indexed="64"/>
        </x:right>
        <x:top/>
        <x:bottom style="thin">
          <x:color indexed="64"/>
        </x:bottom>
      </x:border>
    </x:dxf>
    <x:dxf>
      <x:font>
        <x:u val="none"/>
        <x:sz val="11"/>
        <x:color auto="1"/>
        <x:name val="Calibri"/>
        <x:family val="2"/>
        <x:scheme val="minor"/>
      </x:font>
      <x:border>
        <x:left style="thin">
          <x:color indexed="64"/>
        </x:left>
        <x:right style="thin">
          <x:color indexed="64"/>
        </x:right>
        <x:top style="thin">
          <x:color indexed="64"/>
        </x:top>
        <x:bottom style="thin">
          <x:color indexed="64"/>
        </x:bottom>
      </x:border>
    </x:dxf>
    <x:dxf/>
    <x:dxf>
      <x:font>
        <x:u val="none"/>
        <x:sz val="11"/>
        <x:color auto="1"/>
        <x:name val="Calibri"/>
        <x:family val="2"/>
        <x:scheme val="minor"/>
      </x:font>
      <x:fill>
        <x:patternFill>
          <x:bgColor indexed="64"/>
        </x:patternFill>
      </x:fill>
      <x:border>
        <x:left style="thin">
          <x:color indexed="64"/>
        </x:left>
        <x:right style="thin">
          <x:color indexed="64"/>
        </x:right>
        <x:top style="thin">
          <x:color indexed="64"/>
        </x:top>
        <x:bottom style="thin">
          <x:color indexed="64"/>
        </x:bottom>
      </x:border>
    </x:dxf>
    <x:dxf>
      <x:font>
        <x:u val="none"/>
        <x:sz val="11"/>
        <x:color auto="1"/>
        <x:name val="Calibri"/>
        <x:family val="2"/>
        <x:scheme val="minor"/>
      </x:font>
      <x:fill>
        <x:patternFill>
          <x:bgColor indexed="64"/>
        </x:patternFill>
      </x:fill>
      <x:border>
        <x:left style="thin">
          <x:color indexed="64"/>
        </x:left>
        <x:right style="thin">
          <x:color indexed="64"/>
        </x:right>
        <x:top style="thin">
          <x:color indexed="64"/>
        </x:top>
        <x:bottom style="thin">
          <x:color indexed="64"/>
        </x:bottom>
      </x:border>
    </x:dxf>
    <x:dxf>
      <x:font>
        <x:u val="none"/>
        <x:sz val="11"/>
        <x:color auto="1"/>
        <x:name val="Calibri"/>
        <x:family val="2"/>
        <x:scheme val="minor"/>
      </x:font>
      <x:fill>
        <x:patternFill>
          <x:bgColor indexed="64"/>
        </x:patternFill>
      </x:fill>
      <x:border>
        <x:left style="thin">
          <x:color indexed="64"/>
        </x:left>
        <x:right style="thin">
          <x:color indexed="64"/>
        </x:right>
        <x:top style="thin">
          <x:color indexed="64"/>
        </x:top>
        <x:bottom style="thin">
          <x:color indexed="64"/>
        </x:bottom>
      </x:border>
    </x:dxf>
    <x:dxf>
      <x:font>
        <x:u val="none"/>
        <x:sz val="11"/>
        <x:color auto="1"/>
        <x:name val="Calibri"/>
        <x:family val="2"/>
        <x:scheme val="minor"/>
      </x:font>
      <x:fill>
        <x:patternFill>
          <x:bgColor indexed="64"/>
        </x:patternFill>
      </x:fill>
      <x:border>
        <x:left style="thin">
          <x:color indexed="64"/>
        </x:left>
        <x:right style="thin">
          <x:color indexed="64"/>
        </x:right>
        <x:top style="thin">
          <x:color indexed="64"/>
        </x:top>
        <x:bottom style="thin">
          <x:color indexed="64"/>
        </x:bottom>
      </x:border>
    </x:dxf>
    <x:dxf>
      <x:font>
        <x:u val="none"/>
        <x:sz val="11"/>
        <x:color auto="1"/>
        <x:name val="Calibri"/>
        <x:family val="2"/>
        <x:scheme val="minor"/>
      </x:font>
      <x:border>
        <x:left style="thin">
          <x:color indexed="64"/>
        </x:left>
        <x:right style="thin">
          <x:color indexed="64"/>
        </x:right>
        <x:top style="thin">
          <x:color indexed="64"/>
        </x:top>
        <x:bottom style="thin">
          <x:color indexed="64"/>
        </x:bottom>
      </x:border>
    </x:dxf>
    <x:dxf>
      <x:font>
        <x:u val="none"/>
        <x:sz val="11"/>
        <x:color auto="1"/>
        <x:name val="Calibri"/>
        <x:family val="2"/>
        <x:scheme val="minor"/>
      </x:font>
      <x:border>
        <x:left style="thin">
          <x:color indexed="64"/>
        </x:left>
        <x:right style="thin">
          <x:color indexed="64"/>
        </x:right>
        <x:top style="thin">
          <x:color indexed="64"/>
        </x:top>
        <x:bottom style="thin">
          <x:color indexed="64"/>
        </x:bottom>
      </x:border>
    </x:dxf>
    <x:dxf>
      <x:font>
        <x:u val="none"/>
        <x:sz val="11"/>
        <x:color auto="1"/>
        <x:name val="Calibri"/>
        <x:family val="2"/>
        <x:scheme val="minor"/>
      </x:font>
      <x:border>
        <x:left style="thin">
          <x:color indexed="64"/>
        </x:left>
        <x:right style="thin">
          <x:color indexed="64"/>
        </x:right>
        <x:top style="thin">
          <x:color indexed="64"/>
        </x:top>
        <x:bottom style="thin">
          <x:color indexed="64"/>
        </x:bottom>
      </x:border>
    </x:dxf>
    <x:dxf>
      <x:font>
        <x:u val="none"/>
        <x:sz val="11"/>
        <x:color auto="1"/>
        <x:name val="Calibri"/>
        <x:family val="2"/>
        <x:scheme val="minor"/>
      </x:font>
      <x:border>
        <x:left style="thin">
          <x:color indexed="64"/>
        </x:left>
        <x:right style="thin">
          <x:color indexed="64"/>
        </x:right>
        <x:top style="thin">
          <x:color indexed="64"/>
        </x:top>
        <x:bottom style="thin">
          <x:color indexed="64"/>
        </x:bottom>
      </x:border>
    </x:dxf>
    <x:dxf>
      <x:font>
        <x:u val="none"/>
        <x:sz val="11"/>
        <x:color auto="1"/>
        <x:name val="Calibri"/>
        <x:family val="2"/>
        <x:scheme val="minor"/>
      </x:font>
      <x:border>
        <x:left style="thin">
          <x:color indexed="64"/>
        </x:left>
        <x:right style="thin">
          <x:color indexed="64"/>
        </x:right>
        <x:top style="thin">
          <x:color indexed="64"/>
        </x:top>
        <x:bottom style="thin">
          <x:color indexed="64"/>
        </x:bottom>
      </x:border>
    </x:dxf>
    <x:dxf>
      <x:font>
        <x:u val="none"/>
        <x:sz val="11"/>
        <x:color auto="1"/>
        <x:name val="Calibri"/>
        <x:family val="2"/>
        <x:scheme val="minor"/>
      </x:font>
      <x:border>
        <x:left style="thin">
          <x:color indexed="64"/>
        </x:left>
        <x:right style="thin">
          <x:color indexed="64"/>
        </x:right>
        <x:top style="thin">
          <x:color indexed="64"/>
        </x:top>
        <x:bottom style="thin">
          <x:color indexed="64"/>
        </x:bottom>
      </x:border>
    </x:dxf>
    <x:dxf>
      <x:font>
        <x:u val="none"/>
        <x:sz val="11"/>
        <x:color auto="1"/>
        <x:name val="Calibri"/>
        <x:family val="2"/>
        <x:scheme val="minor"/>
      </x:font>
      <x:border>
        <x:left style="thin">
          <x:color indexed="64"/>
        </x:left>
        <x:right style="thin">
          <x:color indexed="64"/>
        </x:right>
        <x:top style="thin">
          <x:color indexed="64"/>
        </x:top>
        <x:bottom style="thin">
          <x:color indexed="64"/>
        </x:bottom>
      </x:border>
    </x:dxf>
    <x:dxf>
      <x:font>
        <x:u val="none"/>
        <x:sz val="11"/>
        <x:color auto="1"/>
        <x:name val="Calibri"/>
        <x:family val="2"/>
        <x:scheme val="minor"/>
      </x:font>
      <x:border>
        <x:left style="thin">
          <x:color indexed="64"/>
        </x:left>
        <x:right style="thin">
          <x:color indexed="64"/>
        </x:right>
        <x:top style="thin">
          <x:color indexed="64"/>
        </x:top>
        <x:bottom style="thin">
          <x:color indexed="64"/>
        </x:bottom>
      </x:border>
    </x:dxf>
    <x:dxf>
      <x:font>
        <x:u val="none"/>
        <x:sz val="11"/>
        <x:color auto="1"/>
        <x:name val="Calibri"/>
        <x:family val="2"/>
        <x:scheme val="minor"/>
      </x:font>
      <x:border>
        <x:left style="thin">
          <x:color indexed="64"/>
        </x:left>
        <x:right style="thin">
          <x:color indexed="64"/>
        </x:right>
        <x:top style="thin">
          <x:color indexed="64"/>
        </x:top>
        <x:bottom style="thin">
          <x:color indexed="64"/>
        </x:bottom>
      </x:border>
    </x:dxf>
    <x:dxf>
      <x:font>
        <x:u val="none"/>
        <x:sz val="11"/>
        <x:color auto="1"/>
        <x:name val="Calibri"/>
        <x:family val="2"/>
        <x:scheme val="minor"/>
      </x:font>
      <x:border>
        <x:left style="thin">
          <x:color indexed="64"/>
        </x:left>
        <x:right style="thin">
          <x:color indexed="64"/>
        </x:right>
        <x:top style="thin">
          <x:color indexed="64"/>
        </x:top>
        <x:bottom style="thin">
          <x:color indexed="64"/>
        </x:bottom>
      </x:border>
    </x:dxf>
    <x:dxf>
      <x:font>
        <x:u val="none"/>
        <x:sz val="11"/>
        <x:color auto="1"/>
        <x:name val="Calibri"/>
        <x:family val="2"/>
        <x:scheme val="minor"/>
      </x:font>
      <x:border>
        <x:left style="thin">
          <x:color indexed="64"/>
        </x:left>
        <x:right style="thin">
          <x:color indexed="64"/>
        </x:right>
        <x:top style="thin">
          <x:color indexed="64"/>
        </x:top>
        <x:bottom style="thin">
          <x:color indexed="64"/>
        </x:bottom>
      </x:border>
    </x:dxf>
    <x:dxf>
      <x:font>
        <x:u val="none"/>
        <x:sz val="11"/>
        <x:color auto="1"/>
        <x:name val="Calibri"/>
        <x:family val="2"/>
        <x:scheme val="minor"/>
      </x:font>
      <x:border>
        <x:left style="thin">
          <x:color indexed="64"/>
        </x:left>
        <x:right style="thin">
          <x:color indexed="64"/>
        </x:right>
        <x:top style="thin">
          <x:color indexed="64"/>
        </x:top>
        <x:bottom style="thin">
          <x:color indexed="64"/>
        </x:bottom>
      </x:border>
    </x:dxf>
    <x:dxf>
      <x:font>
        <x:u val="none"/>
        <x:sz val="11"/>
        <x:color auto="1"/>
        <x:name val="Calibri"/>
        <x:family val="2"/>
        <x:scheme val="minor"/>
      </x:font>
      <x:border>
        <x:left style="thin">
          <x:color indexed="64"/>
        </x:left>
        <x:right style="thin">
          <x:color indexed="64"/>
        </x:right>
        <x:top style="thin">
          <x:color indexed="64"/>
        </x:top>
        <x:bottom style="thin">
          <x:color indexed="64"/>
        </x:bottom>
      </x:border>
    </x:dxf>
    <x:dxf>
      <x:font>
        <x:u val="none"/>
        <x:sz val="11"/>
        <x:color auto="1"/>
        <x:name val="Calibri"/>
        <x:family val="2"/>
        <x:scheme val="minor"/>
      </x:font>
      <x:border>
        <x:left style="thin">
          <x:color indexed="64"/>
        </x:left>
        <x:right/>
        <x:top style="thin">
          <x:color indexed="64"/>
        </x:top>
        <x:bottom style="thin">
          <x:color indexed="64"/>
        </x:bottom>
      </x:border>
    </x:dxf>
    <x:dxf>
      <x:font>
        <x:u val="none"/>
        <x:sz val="11"/>
        <x:color auto="1"/>
        <x:name val="Calibri"/>
        <x:family val="2"/>
        <x:scheme val="minor"/>
      </x:font>
      <x:border>
        <x:left style="thin">
          <x:color indexed="64"/>
        </x:left>
        <x:right style="thin">
          <x:color indexed="64"/>
        </x:right>
        <x:top style="thin">
          <x:color indexed="64"/>
        </x:top>
        <x:bottom style="thin">
          <x:color indexed="64"/>
        </x:bottom>
      </x:border>
    </x:dxf>
    <x:dxf>
      <x:font>
        <x:u val="none"/>
        <x:sz val="11"/>
        <x:color auto="1"/>
        <x:name val="Calibri"/>
        <x:family val="2"/>
        <x:scheme val="minor"/>
      </x:font>
      <x:border>
        <x:left style="thin">
          <x:color indexed="64"/>
        </x:left>
        <x:right style="thin">
          <x:color indexed="64"/>
        </x:right>
        <x:top style="thin">
          <x:color indexed="64"/>
        </x:top>
        <x:bottom style="thin">
          <x:color indexed="64"/>
        </x:bottom>
      </x:border>
    </x:dxf>
    <x:dxf>
      <x:font>
        <x:u val="none"/>
        <x:sz val="11"/>
        <x:color auto="1"/>
        <x:name val="Calibri"/>
        <x:family val="2"/>
        <x:scheme val="minor"/>
      </x:font>
      <x:border>
        <x:left style="thin">
          <x:color indexed="64"/>
        </x:left>
        <x:right style="thin">
          <x:color indexed="64"/>
        </x:right>
        <x:top style="thin">
          <x:color indexed="64"/>
        </x:top>
        <x:bottom/>
      </x:border>
    </x:dxf>
    <x:dxf>
      <x:font>
        <x:u val="none"/>
        <x:sz val="11"/>
        <x:color auto="1"/>
        <x:name val="Calibri"/>
        <x:family val="2"/>
        <x:scheme val="minor"/>
      </x:font>
      <x:border>
        <x:left style="thin">
          <x:color indexed="64"/>
        </x:left>
        <x:right style="thin">
          <x:color indexed="64"/>
        </x:right>
        <x:top style="thin">
          <x:color indexed="64"/>
        </x:top>
        <x:bottom style="thin">
          <x:color indexed="64"/>
        </x:bottom>
      </x:border>
    </x:dxf>
    <x:dxf>
      <x:font>
        <x:u val="none"/>
        <x:sz val="11"/>
        <x:color auto="1"/>
        <x:name val="Calibri"/>
        <x:family val="2"/>
        <x:scheme val="minor"/>
      </x:font>
      <x:border>
        <x:left style="thin">
          <x:color indexed="64"/>
        </x:left>
        <x:right style="thin">
          <x:color indexed="64"/>
        </x:right>
        <x:top style="thin">
          <x:color indexed="64"/>
        </x:top>
        <x:bottom style="thin">
          <x:color indexed="64"/>
        </x:bottom>
      </x:border>
    </x:dxf>
    <x:dxf>
      <x:font>
        <x:u val="none"/>
        <x:sz val="11"/>
        <x:color auto="1"/>
        <x:name val="Calibri"/>
        <x:family val="2"/>
        <x:scheme val="minor"/>
      </x:font>
      <x:border>
        <x:left style="thin">
          <x:color indexed="64"/>
        </x:left>
        <x:right style="thin">
          <x:color indexed="64"/>
        </x:right>
        <x:top style="thin">
          <x:color indexed="64"/>
        </x:top>
        <x:bottom style="thin">
          <x:color indexed="64"/>
        </x:bottom>
      </x:border>
    </x:dxf>
    <x:dxf>
      <x:font>
        <x:u val="none"/>
        <x:sz val="11"/>
        <x:color auto="1"/>
        <x:name val="Calibri"/>
        <x:family val="2"/>
        <x:scheme val="minor"/>
      </x:font>
      <x:border>
        <x:left style="thin">
          <x:color indexed="64"/>
        </x:left>
        <x:right style="thin">
          <x:color indexed="64"/>
        </x:right>
        <x:top style="thin">
          <x:color indexed="64"/>
        </x:top>
        <x:bottom/>
      </x:border>
    </x:dxf>
    <x:dxf>
      <x:font>
        <x:u val="none"/>
        <x:sz val="11"/>
        <x:color auto="1"/>
        <x:name val="Calibri"/>
        <x:family val="2"/>
        <x:scheme val="minor"/>
      </x:font>
      <x:border>
        <x:left style="thin">
          <x:color indexed="64"/>
        </x:left>
        <x:right style="thin">
          <x:color indexed="64"/>
        </x:right>
        <x:top style="thin">
          <x:color indexed="64"/>
        </x:top>
        <x:bottom/>
      </x:border>
    </x:dxf>
    <x:dxf>
      <x:font>
        <x:u val="none"/>
        <x:sz val="11"/>
        <x:color auto="1"/>
        <x:name val="Calibri"/>
        <x:family val="2"/>
        <x:scheme val="minor"/>
      </x:font>
      <x:border>
        <x:left style="thin">
          <x:color indexed="64"/>
        </x:left>
        <x:right style="thin">
          <x:color indexed="64"/>
        </x:right>
        <x:top style="thin">
          <x:color indexed="64"/>
        </x:top>
        <x:bottom/>
      </x:border>
    </x:dxf>
    <x:dxf>
      <x:font>
        <x:u val="none"/>
        <x:sz val="11"/>
        <x:color auto="1"/>
        <x:name val="Calibri"/>
        <x:family val="2"/>
        <x:scheme val="minor"/>
      </x:font>
      <x:border>
        <x:left style="thin">
          <x:color indexed="64"/>
        </x:left>
        <x:right style="thin">
          <x:color indexed="64"/>
        </x:right>
        <x:top style="thin">
          <x:color indexed="64"/>
        </x:top>
        <x:bottom/>
      </x:border>
    </x:dxf>
    <x:dxf>
      <x:font>
        <x:u val="none"/>
        <x:sz val="11"/>
        <x:color auto="1"/>
        <x:name val="Calibri"/>
        <x:family val="2"/>
        <x:scheme val="minor"/>
      </x:font>
      <x:border>
        <x:left style="thin">
          <x:color indexed="64"/>
        </x:left>
        <x:right style="thin">
          <x:color indexed="64"/>
        </x:right>
        <x:top style="thin">
          <x:color indexed="64"/>
        </x:top>
        <x:bottom/>
      </x:border>
    </x:dxf>
    <x:dxf>
      <x:font>
        <x:u val="none"/>
        <x:sz val="11"/>
        <x:color auto="1"/>
        <x:name val="Calibri"/>
        <x:family val="2"/>
        <x:scheme val="minor"/>
      </x:font>
      <x:border>
        <x:left style="thin">
          <x:color indexed="64"/>
        </x:left>
        <x:right style="thin">
          <x:color indexed="64"/>
        </x:right>
        <x:top style="thin">
          <x:color indexed="64"/>
        </x:top>
        <x:bottom/>
      </x:border>
    </x:dxf>
    <x:dxf>
      <x:font>
        <x:u val="none"/>
        <x:sz val="11"/>
        <x:color auto="1"/>
        <x:name val="Calibri"/>
        <x:family val="2"/>
        <x:scheme val="minor"/>
      </x:font>
      <x:border>
        <x:left style="thin">
          <x:color indexed="64"/>
        </x:left>
        <x:right style="thin">
          <x:color indexed="64"/>
        </x:right>
        <x:top style="thin">
          <x:color indexed="64"/>
        </x:top>
        <x:bottom style="thin">
          <x:color indexed="64"/>
        </x:bottom>
      </x:border>
    </x:dxf>
    <x:dxf>
      <x:font>
        <x:u val="none"/>
        <x:sz val="11"/>
        <x:color auto="1"/>
        <x:name val="Calibri"/>
        <x:family val="2"/>
        <x:scheme val="minor"/>
      </x:font>
      <x:border>
        <x:left style="thin">
          <x:color indexed="64"/>
        </x:left>
        <x:right style="thin">
          <x:color indexed="64"/>
        </x:right>
        <x:top style="thin">
          <x:color indexed="64"/>
        </x:top>
        <x:bottom style="thin">
          <x:color indexed="64"/>
        </x:bottom>
      </x:border>
    </x:dxf>
    <x:dxf>
      <x:font>
        <x:u val="none"/>
        <x:sz val="11"/>
        <x:color auto="1"/>
        <x:name val="Calibri"/>
        <x:family val="2"/>
        <x:scheme val="minor"/>
      </x:font>
      <x:border>
        <x:left style="thin">
          <x:color indexed="64"/>
        </x:left>
        <x:right style="thin">
          <x:color indexed="64"/>
        </x:right>
        <x:top style="thin">
          <x:color indexed="64"/>
        </x:top>
        <x:bottom style="thin">
          <x:color indexed="64"/>
        </x:bottom>
      </x:border>
    </x:dxf>
    <x:dxf>
      <x:font>
        <x:u val="none"/>
        <x:sz val="11"/>
        <x:color auto="1"/>
        <x:name val="Calibri"/>
        <x:family val="2"/>
        <x:scheme val="minor"/>
      </x:font>
      <x:border>
        <x:left style="thin">
          <x:color indexed="64"/>
        </x:left>
        <x:right style="thin">
          <x:color indexed="64"/>
        </x:right>
        <x:top style="thin">
          <x:color indexed="64"/>
        </x:top>
        <x:bottom style="thin">
          <x:color indexed="64"/>
        </x:bottom>
      </x:border>
    </x:dxf>
    <x:dxf>
      <x:font>
        <x:u val="none"/>
        <x:sz val="11"/>
        <x:color auto="1"/>
        <x:name val="Calibri"/>
        <x:family val="2"/>
        <x:scheme val="minor"/>
      </x:font>
      <x:border>
        <x:left style="thin">
          <x:color indexed="64"/>
        </x:left>
        <x:right style="thin">
          <x:color indexed="64"/>
        </x:right>
        <x:top style="thin">
          <x:color indexed="64"/>
        </x:top>
        <x:bottom style="thin">
          <x:color indexed="64"/>
        </x:bottom>
      </x:border>
    </x:dxf>
    <x:dxf>
      <x:font>
        <x:u val="none"/>
        <x:sz val="11"/>
        <x:color auto="1"/>
        <x:name val="Calibri"/>
        <x:family val="2"/>
        <x:scheme val="minor"/>
      </x:font>
      <x:border>
        <x:left style="thin">
          <x:color indexed="64"/>
        </x:left>
        <x:right style="thin">
          <x:color indexed="64"/>
        </x:right>
        <x:top style="thin">
          <x:color indexed="64"/>
        </x:top>
        <x:bottom style="thin">
          <x:color indexed="64"/>
        </x:bottom>
      </x:border>
    </x:dxf>
    <x:dxf>
      <x:font>
        <x:u val="none"/>
        <x:sz val="11"/>
        <x:color auto="1"/>
        <x:name val="Calibri"/>
        <x:family val="2"/>
        <x:scheme val="minor"/>
      </x:font>
      <x:fill>
        <x:patternFill>
          <x:bgColor indexed="64"/>
        </x:patternFill>
      </x:fill>
      <x:border>
        <x:left/>
        <x:right style="thin">
          <x:color indexed="64"/>
        </x:right>
        <x:top style="thin">
          <x:color indexed="64"/>
        </x:top>
        <x:bottom style="thin">
          <x:color indexed="64"/>
        </x:bottom>
      </x:border>
    </x:dxf>
    <x:dxf>
      <x:border>
        <x:left style="thin">
          <x:color indexed="64"/>
        </x:left>
        <x:right style="thin">
          <x:color indexed="64"/>
        </x:right>
        <x:top style="thin">
          <x:color indexed="64"/>
        </x:top>
        <x:bottom style="thin">
          <x:color indexed="64"/>
        </x:bottom>
      </x:border>
    </x:dxf>
    <x:dxf>
      <x:font>
        <x:u val="none"/>
        <x:sz val="11"/>
        <x:color auto="1"/>
        <x:name val="Calibri"/>
        <x:family val="2"/>
        <x:scheme val="minor"/>
      </x:font>
    </x:dxf>
    <x:dxf>
      <x:font>
        <x:b/>
        <x:u val="none"/>
        <x:sz val="11"/>
        <x:color auto="1"/>
        <x:name val="Calibri"/>
        <x:family val="2"/>
        <x:scheme val="minor"/>
      </x:font>
      <x:fill>
        <x:patternFill>
          <x:bgColor indexed="64"/>
        </x:patternFill>
      </x:fill>
      <x:border>
        <x:left style="thin">
          <x:color indexed="64"/>
        </x:left>
        <x:right style="thin">
          <x:color indexed="64"/>
        </x:right>
        <x:top/>
        <x:bottom/>
      </x:border>
    </x:dxf>
    <x:dxf>
      <x:border>
        <x:left style="thin">
          <x:color indexed="64"/>
        </x:left>
        <x:right/>
        <x:top style="thin">
          <x:color indexed="64"/>
        </x:top>
        <x:bottom/>
      </x:border>
    </x:dxf>
    <x:dxf>
      <x:border>
        <x:left style="thin">
          <x:color indexed="64"/>
        </x:left>
        <x:right style="thin">
          <x:color indexed="64"/>
        </x:right>
        <x:top style="thin">
          <x:color indexed="64"/>
        </x:top>
        <x:bottom/>
      </x:border>
    </x:dxf>
    <x:dxf>
      <x:border>
        <x:left style="thin">
          <x:color indexed="64"/>
        </x:left>
        <x:right style="thin">
          <x:color indexed="64"/>
        </x:right>
        <x:top style="thin">
          <x:color indexed="64"/>
        </x:top>
        <x:bottom/>
      </x:border>
    </x:dxf>
    <x:dxf>
      <x:border>
        <x:left style="thin">
          <x:color indexed="64"/>
        </x:left>
        <x:right style="thin">
          <x:color indexed="64"/>
        </x:right>
        <x:top style="thin">
          <x:color indexed="64"/>
        </x:top>
        <x:bottom/>
      </x:border>
    </x:dxf>
    <x:dxf>
      <x:border>
        <x:left style="thin">
          <x:color indexed="64"/>
        </x:left>
        <x:right style="thin">
          <x:color indexed="64"/>
        </x:right>
        <x:top style="thin">
          <x:color indexed="64"/>
        </x:top>
        <x:bottom/>
      </x:border>
    </x:dxf>
    <x:dxf>
      <x:border>
        <x:left style="thin">
          <x:color indexed="64"/>
        </x:left>
        <x:right style="thin">
          <x:color indexed="64"/>
        </x:right>
        <x:top style="thin">
          <x:color indexed="64"/>
        </x:top>
        <x:bottom/>
      </x:border>
    </x:dxf>
    <x:dxf>
      <x:border>
        <x:left style="thin">
          <x:color indexed="64"/>
        </x:left>
        <x:right style="thin">
          <x:color indexed="64"/>
        </x:right>
        <x:top style="thin">
          <x:color indexed="64"/>
        </x:top>
        <x:bottom/>
      </x:border>
    </x:dxf>
    <x:dxf>
      <x:border>
        <x:left style="thin">
          <x:color indexed="64"/>
        </x:left>
        <x:right style="thin">
          <x:color indexed="64"/>
        </x:right>
        <x:top style="thin">
          <x:color indexed="64"/>
        </x:top>
        <x:bottom/>
      </x:border>
    </x:dxf>
    <x:dxf>
      <x:font>
        <x:u val="none"/>
        <x:sz val="11"/>
        <x:color auto="1"/>
        <x:name val="Calibri"/>
        <x:family val="2"/>
        <x:scheme val="minor"/>
      </x:font>
      <x:border>
        <x:left style="thin">
          <x:color indexed="64"/>
        </x:left>
        <x:right style="thin">
          <x:color indexed="64"/>
        </x:right>
        <x:top style="thin">
          <x:color indexed="64"/>
        </x:top>
        <x:bottom/>
      </x:border>
    </x:dxf>
    <x:dxf>
      <x:font>
        <x:u val="none"/>
        <x:sz val="11"/>
        <x:color auto="1"/>
        <x:name val="Calibri"/>
        <x:family val="2"/>
        <x:scheme val="minor"/>
      </x:font>
      <x:numFmt numFmtId="1" formatCode="0"/>
      <x:fill>
        <x:patternFill>
          <x:bgColor indexed="64"/>
        </x:patternFill>
      </x:fill>
      <x:border>
        <x:left style="thin">
          <x:color indexed="64"/>
        </x:left>
        <x:right style="thin">
          <x:color indexed="64"/>
        </x:right>
        <x:top style="thin">
          <x:color indexed="64"/>
        </x:top>
        <x:bottom/>
      </x:border>
    </x:dxf>
    <x:dxf>
      <x:font>
        <x:u val="none"/>
        <x:sz val="11"/>
        <x:color auto="1"/>
        <x:name val="Calibri"/>
        <x:family val="2"/>
        <x:scheme val="minor"/>
      </x:font>
      <x:fill>
        <x:patternFill>
          <x:bgColor indexed="64"/>
        </x:patternFill>
      </x:fill>
      <x:border>
        <x:left style="thin">
          <x:color indexed="64"/>
        </x:left>
        <x:right style="thin">
          <x:color indexed="64"/>
        </x:right>
        <x:top style="thin">
          <x:color indexed="64"/>
        </x:top>
        <x:bottom/>
      </x:border>
    </x:dxf>
    <x:dxf>
      <x:font>
        <x:u val="none"/>
        <x:sz val="11"/>
        <x:color auto="1"/>
        <x:name val="Calibri"/>
        <x:family val="2"/>
        <x:scheme val="minor"/>
      </x:font>
      <x:fill>
        <x:patternFill>
          <x:bgColor indexed="64"/>
        </x:patternFill>
      </x:fill>
      <x:border>
        <x:left style="thin">
          <x:color indexed="64"/>
        </x:left>
        <x:right style="thin">
          <x:color indexed="64"/>
        </x:right>
        <x:top style="thin">
          <x:color indexed="64"/>
        </x:top>
        <x:bottom/>
      </x:border>
    </x:dxf>
    <x:dxf>
      <x:font>
        <x:u val="none"/>
        <x:sz val="11"/>
        <x:color auto="1"/>
        <x:name val="Calibri"/>
        <x:family val="2"/>
        <x:scheme val="minor"/>
      </x:font>
      <x:fill>
        <x:patternFill>
          <x:bgColor indexed="64"/>
        </x:patternFill>
      </x:fill>
      <x:border>
        <x:left style="thin">
          <x:color indexed="64"/>
        </x:left>
        <x:right style="thin">
          <x:color indexed="64"/>
        </x:right>
        <x:top style="thin">
          <x:color indexed="64"/>
        </x:top>
        <x:bottom/>
      </x:border>
    </x:dxf>
    <x:dxf>
      <x:font>
        <x:u val="none"/>
        <x:sz val="11"/>
        <x:color auto="1"/>
        <x:name val="Calibri"/>
        <x:family val="2"/>
        <x:scheme val="minor"/>
      </x:font>
      <x:fill>
        <x:patternFill>
          <x:bgColor indexed="64"/>
        </x:patternFill>
      </x:fill>
      <x:border>
        <x:left style="thin">
          <x:color indexed="64"/>
        </x:left>
        <x:right style="thin">
          <x:color indexed="64"/>
        </x:right>
        <x:top style="thin">
          <x:color indexed="64"/>
        </x:top>
        <x:bottom/>
      </x:border>
    </x:dxf>
    <x:dxf>
      <x:font>
        <x:u val="none"/>
        <x:sz val="11"/>
        <x:color auto="1"/>
        <x:name val="Calibri"/>
        <x:family val="2"/>
        <x:scheme val="minor"/>
      </x:font>
      <x:border>
        <x:left style="thin">
          <x:color indexed="64"/>
        </x:left>
        <x:right style="thin">
          <x:color indexed="64"/>
        </x:right>
        <x:top style="thin">
          <x:color indexed="64"/>
        </x:top>
        <x:bottom/>
      </x:border>
    </x:dxf>
    <x:dxf>
      <x:font>
        <x:u val="none"/>
        <x:sz val="11"/>
        <x:color auto="1"/>
        <x:name val="Calibri"/>
        <x:family val="2"/>
        <x:scheme val="minor"/>
      </x:font>
      <x:border>
        <x:left style="thin">
          <x:color indexed="64"/>
        </x:left>
        <x:right style="thin">
          <x:color indexed="64"/>
        </x:right>
        <x:top style="thin">
          <x:color indexed="64"/>
        </x:top>
        <x:bottom/>
      </x:border>
    </x:dxf>
    <x:dxf>
      <x:font>
        <x:u val="none"/>
        <x:sz val="11"/>
        <x:color auto="1"/>
        <x:name val="Calibri"/>
        <x:family val="2"/>
        <x:scheme val="minor"/>
      </x:font>
      <x:border>
        <x:left style="thin">
          <x:color indexed="64"/>
        </x:left>
        <x:right style="thin">
          <x:color indexed="64"/>
        </x:right>
        <x:top style="thin">
          <x:color indexed="64"/>
        </x:top>
        <x:bottom/>
      </x:border>
    </x:dxf>
    <x:dxf>
      <x:font>
        <x:u val="none"/>
        <x:sz val="11"/>
        <x:color auto="1"/>
        <x:name val="Calibri"/>
        <x:family val="2"/>
        <x:scheme val="minor"/>
      </x:font>
      <x:border>
        <x:left style="thin">
          <x:color indexed="64"/>
        </x:left>
        <x:right style="thin">
          <x:color indexed="64"/>
        </x:right>
        <x:top style="thin">
          <x:color indexed="64"/>
        </x:top>
        <x:bottom/>
      </x:border>
    </x:dxf>
    <x:dxf>
      <x:font>
        <x:u val="none"/>
        <x:sz val="11"/>
        <x:color auto="1"/>
        <x:name val="Calibri"/>
        <x:family val="2"/>
        <x:scheme val="minor"/>
      </x:font>
      <x:border>
        <x:left style="thin">
          <x:color indexed="64"/>
        </x:left>
        <x:right style="thin">
          <x:color indexed="64"/>
        </x:right>
        <x:top style="thin">
          <x:color indexed="64"/>
        </x:top>
        <x:bottom/>
      </x:border>
    </x:dxf>
    <x:dxf>
      <x:font>
        <x:u val="none"/>
        <x:sz val="11"/>
        <x:color auto="1"/>
        <x:name val="Calibri"/>
        <x:family val="2"/>
        <x:scheme val="minor"/>
      </x:font>
      <x:border>
        <x:left style="thin">
          <x:color indexed="64"/>
        </x:left>
        <x:right style="thin">
          <x:color indexed="64"/>
        </x:right>
        <x:top style="thin">
          <x:color indexed="64"/>
        </x:top>
        <x:bottom/>
      </x:border>
    </x:dxf>
    <x:dxf>
      <x:font>
        <x:u val="none"/>
        <x:sz val="11"/>
        <x:color auto="1"/>
        <x:name val="Calibri"/>
        <x:family val="2"/>
        <x:scheme val="minor"/>
      </x:font>
      <x:border>
        <x:left style="thin">
          <x:color indexed="64"/>
        </x:left>
        <x:right style="thin">
          <x:color indexed="64"/>
        </x:right>
        <x:top style="thin">
          <x:color indexed="64"/>
        </x:top>
        <x:bottom/>
      </x:border>
    </x:dxf>
    <x:dxf>
      <x:font>
        <x:u val="none"/>
        <x:sz val="11"/>
        <x:color auto="1"/>
        <x:name val="Calibri"/>
        <x:family val="2"/>
        <x:scheme val="minor"/>
      </x:font>
      <x:border>
        <x:left style="thin">
          <x:color indexed="64"/>
        </x:left>
        <x:right style="thin">
          <x:color indexed="64"/>
        </x:right>
        <x:top style="thin">
          <x:color indexed="64"/>
        </x:top>
        <x:bottom/>
      </x:border>
    </x:dxf>
    <x:dxf>
      <x:font>
        <x:u val="none"/>
        <x:sz val="11"/>
        <x:color auto="1"/>
        <x:name val="Calibri"/>
        <x:family val="2"/>
        <x:scheme val="minor"/>
      </x:font>
      <x:border>
        <x:left style="thin">
          <x:color indexed="64"/>
        </x:left>
        <x:right style="thin">
          <x:color indexed="64"/>
        </x:right>
        <x:top style="thin">
          <x:color indexed="64"/>
        </x:top>
        <x:bottom/>
      </x:border>
    </x:dxf>
    <x:dxf>
      <x:font>
        <x:u val="none"/>
        <x:sz val="11"/>
        <x:color auto="1"/>
        <x:name val="Calibri"/>
        <x:family val="2"/>
        <x:scheme val="minor"/>
      </x:font>
      <x:border>
        <x:left style="thin">
          <x:color indexed="64"/>
        </x:left>
        <x:right style="thin">
          <x:color indexed="64"/>
        </x:right>
        <x:top style="thin">
          <x:color indexed="64"/>
        </x:top>
        <x:bottom/>
      </x:border>
    </x:dxf>
    <x:dxf>
      <x:font>
        <x:u val="none"/>
        <x:sz val="11"/>
        <x:color auto="1"/>
        <x:name val="Calibri"/>
        <x:family val="2"/>
        <x:scheme val="minor"/>
      </x:font>
      <x:border>
        <x:left style="thin">
          <x:color indexed="64"/>
        </x:left>
        <x:right style="thin">
          <x:color indexed="64"/>
        </x:right>
        <x:top style="thin">
          <x:color indexed="64"/>
        </x:top>
        <x:bottom/>
      </x:border>
    </x:dxf>
    <x:dxf>
      <x:font>
        <x:u val="none"/>
        <x:sz val="11"/>
        <x:color auto="1"/>
        <x:name val="Calibri"/>
        <x:family val="2"/>
        <x:scheme val="minor"/>
      </x:font>
      <x:border>
        <x:left style="thin">
          <x:color indexed="64"/>
        </x:left>
        <x:right style="thin">
          <x:color indexed="64"/>
        </x:right>
        <x:top style="thin">
          <x:color indexed="64"/>
        </x:top>
        <x:bottom/>
      </x:border>
    </x:dxf>
    <x:dxf>
      <x:font>
        <x:u val="none"/>
        <x:sz val="11"/>
        <x:color auto="1"/>
        <x:name val="Calibri"/>
        <x:family val="2"/>
        <x:scheme val="minor"/>
      </x:font>
      <x:border>
        <x:left style="thin">
          <x:color indexed="64"/>
        </x:left>
        <x:right style="thin">
          <x:color indexed="64"/>
        </x:right>
        <x:top style="thin">
          <x:color indexed="64"/>
        </x:top>
        <x:bottom/>
      </x:border>
    </x:dxf>
    <x:dxf>
      <x:font>
        <x:u val="none"/>
        <x:sz val="11"/>
        <x:color auto="1"/>
        <x:name val="Calibri"/>
        <x:family val="2"/>
        <x:scheme val="minor"/>
      </x:font>
      <x:border>
        <x:left style="thin">
          <x:color indexed="64"/>
        </x:left>
        <x:right/>
        <x:top style="thin">
          <x:color indexed="64"/>
        </x:top>
        <x:bottom/>
      </x:border>
    </x:dxf>
    <x:dxf>
      <x:font>
        <x:u val="none"/>
        <x:sz val="11"/>
        <x:color auto="1"/>
        <x:name val="Calibri"/>
        <x:family val="2"/>
        <x:scheme val="minor"/>
      </x:font>
      <x:border>
        <x:left style="thin">
          <x:color indexed="64"/>
        </x:left>
        <x:right style="thin">
          <x:color indexed="64"/>
        </x:right>
        <x:top style="thin">
          <x:color indexed="64"/>
        </x:top>
        <x:bottom/>
      </x:border>
    </x:dxf>
    <x:dxf>
      <x:font>
        <x:u val="none"/>
        <x:sz val="11"/>
        <x:color auto="1"/>
        <x:name val="Calibri"/>
        <x:family val="2"/>
        <x:scheme val="minor"/>
      </x:font>
      <x:border>
        <x:left style="thin">
          <x:color indexed="64"/>
        </x:left>
        <x:right style="thin">
          <x:color indexed="64"/>
        </x:right>
        <x:top style="thin">
          <x:color indexed="64"/>
        </x:top>
        <x:bottom/>
      </x:border>
    </x:dxf>
    <x:dxf>
      <x:font>
        <x:u val="none"/>
        <x:sz val="11"/>
        <x:color auto="1"/>
        <x:name val="Calibri"/>
        <x:family val="2"/>
        <x:scheme val="minor"/>
      </x:font>
      <x:border>
        <x:left style="thin">
          <x:color indexed="64"/>
        </x:left>
        <x:right style="thin">
          <x:color indexed="64"/>
        </x:right>
        <x:top style="thin">
          <x:color indexed="64"/>
        </x:top>
        <x:bottom/>
      </x:border>
    </x:dxf>
    <x:dxf>
      <x:font>
        <x:u val="none"/>
        <x:sz val="11"/>
        <x:color auto="1"/>
        <x:name val="Calibri"/>
        <x:family val="2"/>
        <x:scheme val="minor"/>
      </x:font>
      <x:border>
        <x:left style="thin">
          <x:color indexed="64"/>
        </x:left>
        <x:right style="thin">
          <x:color indexed="64"/>
        </x:right>
        <x:top style="thin">
          <x:color indexed="64"/>
        </x:top>
        <x:bottom/>
      </x:border>
    </x:dxf>
    <x:dxf>
      <x:font>
        <x:u val="none"/>
        <x:sz val="11"/>
        <x:color auto="1"/>
        <x:name val="Calibri"/>
        <x:family val="2"/>
        <x:scheme val="minor"/>
      </x:font>
      <x:border>
        <x:left style="thin">
          <x:color indexed="64"/>
        </x:left>
        <x:right style="thin">
          <x:color indexed="64"/>
        </x:right>
        <x:top style="thin">
          <x:color indexed="64"/>
        </x:top>
        <x:bottom/>
      </x:border>
    </x:dxf>
    <x:dxf>
      <x:font>
        <x:u val="none"/>
        <x:sz val="11"/>
        <x:color auto="1"/>
        <x:name val="Calibri"/>
        <x:family val="2"/>
        <x:scheme val="minor"/>
      </x:font>
      <x:border>
        <x:left style="thin">
          <x:color indexed="64"/>
        </x:left>
        <x:right style="thin">
          <x:color indexed="64"/>
        </x:right>
        <x:top style="thin">
          <x:color indexed="64"/>
        </x:top>
        <x:bottom/>
      </x:border>
    </x:dxf>
    <x:dxf>
      <x:font>
        <x:u val="none"/>
        <x:sz val="11"/>
        <x:color auto="1"/>
        <x:name val="Calibri"/>
        <x:family val="2"/>
        <x:scheme val="minor"/>
      </x:font>
      <x:border>
        <x:left style="thin">
          <x:color indexed="64"/>
        </x:left>
        <x:right style="thin">
          <x:color indexed="64"/>
        </x:right>
        <x:top style="thin">
          <x:color indexed="64"/>
        </x:top>
        <x:bottom/>
      </x:border>
    </x:dxf>
    <x:dxf>
      <x:font>
        <x:u val="none"/>
        <x:sz val="11"/>
        <x:color auto="1"/>
        <x:name val="Calibri"/>
        <x:family val="2"/>
        <x:scheme val="minor"/>
      </x:font>
      <x:border>
        <x:left style="thin">
          <x:color indexed="64"/>
        </x:left>
        <x:right style="thin">
          <x:color indexed="64"/>
        </x:right>
        <x:top style="thin">
          <x:color indexed="64"/>
        </x:top>
        <x:bottom/>
      </x:border>
    </x:dxf>
    <x:dxf/>
    <x:dxf>
      <x:font>
        <x:u val="none"/>
        <x:sz val="11"/>
        <x:color auto="1"/>
        <x:name val="Calibri"/>
        <x:family val="2"/>
        <x:scheme val="minor"/>
      </x:font>
      <x:border>
        <x:left style="thin">
          <x:color indexed="64"/>
        </x:left>
        <x:right style="thin">
          <x:color indexed="64"/>
        </x:right>
        <x:top style="thin">
          <x:color indexed="64"/>
        </x:top>
        <x:bottom/>
      </x:border>
    </x:dxf>
    <x:dxf>
      <x:font>
        <x:u val="none"/>
        <x:sz val="11"/>
        <x:color auto="1"/>
        <x:name val="Calibri"/>
        <x:family val="2"/>
        <x:scheme val="minor"/>
      </x:font>
      <x:border>
        <x:left style="thin">
          <x:color indexed="64"/>
        </x:left>
        <x:right style="thin">
          <x:color indexed="64"/>
        </x:right>
        <x:top style="thin">
          <x:color indexed="64"/>
        </x:top>
        <x:bottom/>
      </x:border>
    </x:dxf>
    <x:dxf>
      <x:font>
        <x:u val="none"/>
        <x:sz val="11"/>
        <x:color auto="1"/>
        <x:name val="Calibri"/>
        <x:family val="2"/>
        <x:scheme val="minor"/>
      </x:font>
      <x:border>
        <x:left style="thin">
          <x:color indexed="64"/>
        </x:left>
        <x:right style="thin">
          <x:color indexed="64"/>
        </x:right>
        <x:top style="thin">
          <x:color indexed="64"/>
        </x:top>
        <x:bottom/>
      </x:border>
    </x:dxf>
    <x:dxf>
      <x:font>
        <x:u val="none"/>
        <x:sz val="11"/>
        <x:color auto="1"/>
        <x:name val="Calibri"/>
        <x:family val="2"/>
        <x:scheme val="minor"/>
      </x:font>
      <x:fill>
        <x:patternFill>
          <x:bgColor indexed="64"/>
        </x:patternFill>
      </x:fill>
      <x:border>
        <x:left/>
        <x:right style="thin">
          <x:color indexed="64"/>
        </x:right>
        <x:top style="thin">
          <x:color indexed="64"/>
        </x:top>
        <x:bottom/>
      </x:border>
    </x:dxf>
    <x:dxf>
      <x:border>
        <x:left style="thin">
          <x:color indexed="64"/>
        </x:left>
        <x:right style="thin">
          <x:color indexed="64"/>
        </x:right>
        <x:top style="thin">
          <x:color indexed="64"/>
        </x:top>
        <x:bottom style="thin">
          <x:color indexed="64"/>
        </x:bottom>
      </x:border>
    </x:dxf>
    <x:dxf/>
    <x:dxf>
      <x:font>
        <x:b/>
        <x:u val="none"/>
        <x:sz val="11"/>
        <x:color auto="1"/>
        <x:name val="Calibri"/>
        <x:family val="2"/>
        <x:scheme val="minor"/>
      </x:font>
      <x:fill>
        <x:patternFill>
          <x:bgColor indexed="64"/>
        </x:patternFill>
      </x:fill>
      <x:border>
        <x:left style="thin">
          <x:color indexed="64"/>
        </x:left>
        <x:right style="thin">
          <x:color indexed="64"/>
        </x:right>
        <x:top/>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6899bfa7e9a64af8" /><Relationship Type="http://schemas.openxmlformats.org/officeDocument/2006/relationships/theme" Target="/xl/theme/theme1.xml" Id="R052227d2ea3749dd" /><Relationship Type="http://schemas.openxmlformats.org/officeDocument/2006/relationships/sharedStrings" Target="/xl/sharedStrings.xml" Id="Reba20c8114d94025" /><Relationship Type="http://schemas.openxmlformats.org/officeDocument/2006/relationships/worksheet" Target="/xl/worksheets/sheet1.xml" Id="R31cf68a153d74dde" /><Relationship Type="http://schemas.openxmlformats.org/officeDocument/2006/relationships/worksheet" Target="/xl/worksheets/sheet2.xml" Id="R7d68317dbe624326" /><Relationship Type="http://schemas.openxmlformats.org/officeDocument/2006/relationships/worksheet" Target="/xl/worksheets/sheet3.xml" Id="Rd78c3caf17074d4f" /><Relationship Type="http://schemas.openxmlformats.org/officeDocument/2006/relationships/worksheet" Target="/xl/worksheets/sheet4.xml" Id="R9483681581694339" /><Relationship Type="http://schemas.openxmlformats.org/officeDocument/2006/relationships/worksheet" Target="/xl/worksheets/sheet5.xml" Id="Ra6684ed5449d4443" /><Relationship Type="http://schemas.openxmlformats.org/officeDocument/2006/relationships/worksheet" Target="/xl/worksheets/sheet6.xml" Id="R012fdf64078440f6" /><Relationship Type="http://schemas.openxmlformats.org/officeDocument/2006/relationships/worksheet" Target="/xl/worksheets/sheet7.xml" Id="Rf3267eeb1f384ef0" /><Relationship Type="http://schemas.openxmlformats.org/officeDocument/2006/relationships/worksheet" Target="/xl/worksheets/sheet8.xml" Id="R49fcb67428a44d96" /><Relationship Type="http://schemas.openxmlformats.org/officeDocument/2006/relationships/worksheet" Target="/xl/worksheets/sheet9.xml" Id="R40646b15f5b34e3c" /><Relationship Type="http://schemas.microsoft.com/office/2017/10/relationships/person" Target="/xl/persons/person.xml" Id="R344c996816a34d5b" /></Relationships>
</file>

<file path=xl/drawings/_rels/drawing1.xml.rels>&#65279;<?xml version="1.0" encoding="utf-8"?><Relationships xmlns="http://schemas.openxmlformats.org/package/2006/relationships"><Relationship Type="http://schemas.openxmlformats.org/officeDocument/2006/relationships/chart" Target="/xl/drawings/charts/chart1.xml" Id="Rb2d5c6dbe7af47ef" /><Relationship Type="http://schemas.openxmlformats.org/officeDocument/2006/relationships/chart" Target="/xl/drawings/charts/chart2.xml" Id="Re0101d4a072f49a2" /><Relationship Type="http://schemas.openxmlformats.org/officeDocument/2006/relationships/chart" Target="/xl/drawings/charts/chart3.xml" Id="R4808ec86363b41d0" /></Relationships>
</file>

<file path=xl/drawings/_rels/drawing2.xml.rels>&#65279;<?xml version="1.0" encoding="utf-8"?><Relationships xmlns="http://schemas.openxmlformats.org/package/2006/relationships"><Relationship Type="http://schemas.openxmlformats.org/officeDocument/2006/relationships/chart" Target="/xl/drawings/charts/chart4.xml" Id="Rf9b7ab0d916f440e" /><Relationship Type="http://schemas.openxmlformats.org/officeDocument/2006/relationships/chart" Target="/xl/drawings/charts/chart5.xml" Id="Rb107b9e36afa43ba" /><Relationship Type="http://schemas.openxmlformats.org/officeDocument/2006/relationships/chart" Target="/xl/drawings/charts/chart6.xml" Id="R9db7fe03257f4186" /><Relationship Type="http://schemas.openxmlformats.org/officeDocument/2006/relationships/chart" Target="/xl/drawings/charts/chart7.xml" Id="Rb78155a213a041b5" /><Relationship Type="http://schemas.openxmlformats.org/officeDocument/2006/relationships/chart" Target="/xl/drawings/charts/chart8.xml" Id="Re2dfe0c2316f4d90" /><Relationship Type="http://schemas.openxmlformats.org/officeDocument/2006/relationships/chart" Target="/xl/drawings/charts/chart9.xml" Id="Rd5d4ba27084047cb" /></Relationships>
</file>

<file path=xl/drawings/charts/chart1.xml><?xml version="1.0" encoding="utf-8"?>
<c:chartSpace xmlns:mc="http://schemas.openxmlformats.org/markup-compatibility/2006" xmlns:c14="http://schemas.microsoft.com/office/drawing/2007/8/2/chart" xmlns:c="http://schemas.openxmlformats.org/drawingml/2006/chart" mc:Ignorable="c14">
  <c:lang val="en-US"/>
  <c:roundedCorners val="0"/>
  <mc:AlternateContent>
    <mc:Choice Requires="c14">
      <c14:style val="102"/>
    </mc:Choice>
    <mc:Fallback>
      <c:style val="2"/>
    </mc:Fallback>
  </mc:AlternateContent>
  <c:chart>
    <c:title>
      <c:tx>
        <c:rich>
          <a:bodyPr xmlns:a="http://schemas.openxmlformats.org/drawingml/2006/main"/>
          <a:lstStyle xmlns:a="http://schemas.openxmlformats.org/drawingml/2006/main"/>
          <a:p xmlns:a="http://schemas.openxmlformats.org/drawingml/2006/main">
            <a:r>
              <a:rPr sz="1400" b="1" i="0" u="none" cap="all" spc="150">
                <a:solidFill>
                  <a:schemeClr val="tx1"/>
                </a:solidFill>
                <a:latin typeface="+mn-lt"/>
                <a:ea typeface="+mn-lt"/>
                <a:cs typeface="+mn-lt"/>
              </a:rPr>
              <a:t>ESTUDIOS ECAP POR LÍNEAS PRIORITARIAS DE INVESTIGACIÓN</a:t>
            </a:r>
          </a:p>
        </c:rich>
      </c:tx>
      <c:layout>
        <c:manualLayout>
          <c:xMode val="edge"/>
          <c:yMode val="edge"/>
          <c:x val="0.061988088027458116"/>
          <c:y val="0.03810466429126527"/>
        </c:manualLayout>
      </c:layout>
      <c:overlay val="0"/>
      <c:txPr>
        <a:bodyPr xmlns:a="http://schemas.openxmlformats.org/drawingml/2006/main" rot="0" vert="horz" anchor="ctr" anchorCtr="1"/>
        <a:lstStyle xmlns:a="http://schemas.openxmlformats.org/drawingml/2006/main"/>
        <a:p xmlns:a="http://schemas.openxmlformats.org/drawingml/2006/main">
          <a:pPr>
            <a:defRPr sz="1400" b="1" i="0" u="none" cap="all" spc="150">
              <a:solidFill>
                <a:schemeClr val="tx1"/>
              </a:solidFill>
              <a:latin typeface="+mn-lt"/>
              <a:ea typeface="+mn-lt"/>
              <a:cs typeface="+mn-lt"/>
            </a:defRPr>
          </a:pPr>
        </a:p>
      </c:txPr>
    </c:title>
    <c:autoTitleDeleted val="0"/>
    <c:plotArea>
      <c:barChart>
        <c:barDir val="col"/>
        <c:grouping val="clustered"/>
        <c:varyColors val="0"/>
        <c:ser>
          <c:idx val="0"/>
          <c:order val="0"/>
          <c:tx>
            <c:strRef>
              <c:f>Resultados_líneas_investigación!$B$3</c:f>
              <c:strCache>
                <c:ptCount val="1"/>
                <c:pt idx="0">
                  <c:v>Restauración de la cobertura vegetal</c:v>
                </c:pt>
              </c:strCache>
            </c:strRef>
          </c:tx>
          <c:spPr>
            <a:pattFill xmlns:a="http://schemas.openxmlformats.org/drawingml/2006/main" prst="narHorz">
              <a:fgClr>
                <a:schemeClr val="accent1"/>
              </a:fgClr>
              <a:bgClr>
                <a:schemeClr val="accent1">
                  <a:lumMod val="20000"/>
                  <a:lumOff val="80000"/>
                </a:schemeClr>
              </a:bgClr>
            </a:pattFill>
            <a:ln xmlns:a="http://schemas.openxmlformats.org/drawingml/2006/main">
              <a:noFill/>
            </a:ln>
          </c:spPr>
          <c:cat>
            <c:strRef>
              <c:f>Resultados_líneas_investigación!$C$2:$F$2</c:f>
              <c:strCache>
                <c:ptCount val="4"/>
                <c:pt idx="0">
                  <c:v>No. Becarios </c:v>
                </c:pt>
                <c:pt idx="1">
                  <c:v>No. Apoyo a Investigaciones</c:v>
                </c:pt>
                <c:pt idx="2">
                  <c:v>No. Proyectos de Investigación</c:v>
                </c:pt>
                <c:pt idx="3">
                  <c:v>No. TOTAL ESTUDIOS ECAP</c:v>
                </c:pt>
              </c:strCache>
            </c:strRef>
          </c:cat>
          <c:val>
            <c:numRef>
              <c:f>Resultados_líneas_investigación!$C$3:$F$3</c:f>
              <c:numCache>
                <c:formatCode>General</c:formatCode>
                <c:ptCount val="4"/>
                <c:pt idx="0">
                  <c:v>1</c:v>
                </c:pt>
                <c:pt idx="1">
                  <c:v>3</c:v>
                </c:pt>
                <c:pt idx="2">
                  <c:v>1</c:v>
                </c:pt>
                <c:pt idx="3">
                  <c:v>5</c:v>
                </c:pt>
              </c:numCache>
            </c:numRef>
          </c:val>
        </c:ser>
        <c:ser>
          <c:idx val="1"/>
          <c:order val="1"/>
          <c:tx>
            <c:strRef>
              <c:f>Resultados_líneas_investigación!$B$4</c:f>
              <c:strCache>
                <c:ptCount val="1"/>
                <c:pt idx="0">
                  <c:v>Hidrología</c:v>
                </c:pt>
              </c:strCache>
            </c:strRef>
          </c:tx>
          <c:spPr>
            <a:pattFill xmlns:a="http://schemas.openxmlformats.org/drawingml/2006/main" prst="narHorz">
              <a:fgClr>
                <a:schemeClr val="accent2"/>
              </a:fgClr>
              <a:bgClr>
                <a:schemeClr val="accent2">
                  <a:lumMod val="20000"/>
                  <a:lumOff val="80000"/>
                </a:schemeClr>
              </a:bgClr>
            </a:pattFill>
            <a:ln xmlns:a="http://schemas.openxmlformats.org/drawingml/2006/main">
              <a:noFill/>
            </a:ln>
          </c:spPr>
          <c:cat>
            <c:strRef>
              <c:f>Resultados_líneas_investigación!$C$2:$F$2</c:f>
              <c:strCache>
                <c:ptCount val="4"/>
                <c:pt idx="0">
                  <c:v>No. Becarios </c:v>
                </c:pt>
                <c:pt idx="1">
                  <c:v>No. Apoyo a Investigaciones</c:v>
                </c:pt>
                <c:pt idx="2">
                  <c:v>No. Proyectos de Investigación</c:v>
                </c:pt>
                <c:pt idx="3">
                  <c:v>No. TOTAL ESTUDIOS ECAP</c:v>
                </c:pt>
              </c:strCache>
            </c:strRef>
          </c:cat>
          <c:val>
            <c:numRef>
              <c:f>Resultados_líneas_investigación!$C$4:$F$4</c:f>
              <c:numCache>
                <c:formatCode>General</c:formatCode>
                <c:ptCount val="4"/>
                <c:pt idx="0">
                  <c:v>9</c:v>
                </c:pt>
                <c:pt idx="1">
                  <c:v>16</c:v>
                </c:pt>
                <c:pt idx="2">
                  <c:v>7</c:v>
                </c:pt>
                <c:pt idx="3">
                  <c:v>32</c:v>
                </c:pt>
              </c:numCache>
            </c:numRef>
          </c:val>
        </c:ser>
        <c:ser>
          <c:idx val="2"/>
          <c:order val="2"/>
          <c:tx>
            <c:strRef>
              <c:f>Resultados_líneas_investigación!$B$5</c:f>
              <c:strCache>
                <c:ptCount val="1"/>
                <c:pt idx="0">
                  <c:v>Hidrogeología</c:v>
                </c:pt>
              </c:strCache>
            </c:strRef>
          </c:tx>
          <c:spPr>
            <a:pattFill xmlns:a="http://schemas.openxmlformats.org/drawingml/2006/main" prst="narHorz">
              <a:fgClr>
                <a:schemeClr val="accent3"/>
              </a:fgClr>
              <a:bgClr>
                <a:schemeClr val="accent3">
                  <a:lumMod val="20000"/>
                  <a:lumOff val="80000"/>
                </a:schemeClr>
              </a:bgClr>
            </a:pattFill>
            <a:ln xmlns:a="http://schemas.openxmlformats.org/drawingml/2006/main">
              <a:noFill/>
            </a:ln>
          </c:spPr>
          <c:cat>
            <c:strRef>
              <c:f>Resultados_líneas_investigación!$C$2:$F$2</c:f>
              <c:strCache>
                <c:ptCount val="4"/>
                <c:pt idx="0">
                  <c:v>No. Becarios </c:v>
                </c:pt>
                <c:pt idx="1">
                  <c:v>No. Apoyo a Investigaciones</c:v>
                </c:pt>
                <c:pt idx="2">
                  <c:v>No. Proyectos de Investigación</c:v>
                </c:pt>
                <c:pt idx="3">
                  <c:v>No. TOTAL ESTUDIOS ECAP</c:v>
                </c:pt>
              </c:strCache>
            </c:strRef>
          </c:cat>
          <c:val>
            <c:numRef>
              <c:f>Resultados_líneas_investigación!$C$5:$F$5</c:f>
              <c:numCache>
                <c:formatCode>General</c:formatCode>
                <c:ptCount val="4"/>
                <c:pt idx="0">
                  <c:v>1</c:v>
                </c:pt>
                <c:pt idx="1">
                  <c:v>3</c:v>
                </c:pt>
                <c:pt idx="2">
                  <c:v>1</c:v>
                </c:pt>
                <c:pt idx="3">
                  <c:v>5</c:v>
                </c:pt>
              </c:numCache>
            </c:numRef>
          </c:val>
        </c:ser>
        <c:ser>
          <c:idx val="3"/>
          <c:order val="3"/>
          <c:tx>
            <c:strRef>
              <c:f>Resultados_líneas_investigación!$B$6</c:f>
              <c:strCache>
                <c:ptCount val="1"/>
                <c:pt idx="0">
                  <c:v>Ecología de páramo</c:v>
                </c:pt>
              </c:strCache>
            </c:strRef>
          </c:tx>
          <c:spPr>
            <a:pattFill xmlns:a="http://schemas.openxmlformats.org/drawingml/2006/main" prst="narHorz">
              <a:fgClr>
                <a:schemeClr val="accent4"/>
              </a:fgClr>
              <a:bgClr>
                <a:schemeClr val="accent4">
                  <a:lumMod val="20000"/>
                  <a:lumOff val="80000"/>
                </a:schemeClr>
              </a:bgClr>
            </a:pattFill>
            <a:ln xmlns:a="http://schemas.openxmlformats.org/drawingml/2006/main">
              <a:noFill/>
            </a:ln>
          </c:spPr>
          <c:cat>
            <c:strRef>
              <c:f>Resultados_líneas_investigación!$C$2:$F$2</c:f>
              <c:strCache>
                <c:ptCount val="4"/>
                <c:pt idx="0">
                  <c:v>No. Becarios </c:v>
                </c:pt>
                <c:pt idx="1">
                  <c:v>No. Apoyo a Investigaciones</c:v>
                </c:pt>
                <c:pt idx="2">
                  <c:v>No. Proyectos de Investigación</c:v>
                </c:pt>
                <c:pt idx="3">
                  <c:v>No. TOTAL ESTUDIOS ECAP</c:v>
                </c:pt>
              </c:strCache>
            </c:strRef>
          </c:cat>
          <c:val>
            <c:numRef>
              <c:f>Resultados_líneas_investigación!$C$6:$F$6</c:f>
              <c:numCache>
                <c:formatCode>General</c:formatCode>
                <c:ptCount val="4"/>
                <c:pt idx="0">
                  <c:v>6</c:v>
                </c:pt>
                <c:pt idx="1">
                  <c:v>0</c:v>
                </c:pt>
                <c:pt idx="2">
                  <c:v>2</c:v>
                </c:pt>
                <c:pt idx="3">
                  <c:v>8</c:v>
                </c:pt>
              </c:numCache>
            </c:numRef>
          </c:val>
        </c:ser>
        <c:ser>
          <c:idx val="4"/>
          <c:order val="4"/>
          <c:tx>
            <c:strRef>
              <c:f>Resultados_líneas_investigación!$B$7</c:f>
              <c:strCache>
                <c:ptCount val="1"/>
                <c:pt idx="0">
                  <c:v>Cambio climático y global</c:v>
                </c:pt>
              </c:strCache>
            </c:strRef>
          </c:tx>
          <c:spPr>
            <a:pattFill xmlns:a="http://schemas.openxmlformats.org/drawingml/2006/main" prst="narHorz">
              <a:fgClr>
                <a:schemeClr val="accent5"/>
              </a:fgClr>
              <a:bgClr>
                <a:schemeClr val="accent5">
                  <a:lumMod val="20000"/>
                  <a:lumOff val="80000"/>
                </a:schemeClr>
              </a:bgClr>
            </a:pattFill>
            <a:ln xmlns:a="http://schemas.openxmlformats.org/drawingml/2006/main">
              <a:noFill/>
            </a:ln>
          </c:spPr>
          <c:cat>
            <c:strRef>
              <c:f>Resultados_líneas_investigación!$C$2:$F$2</c:f>
              <c:strCache>
                <c:ptCount val="4"/>
                <c:pt idx="0">
                  <c:v>No. Becarios </c:v>
                </c:pt>
                <c:pt idx="1">
                  <c:v>No. Apoyo a Investigaciones</c:v>
                </c:pt>
                <c:pt idx="2">
                  <c:v>No. Proyectos de Investigación</c:v>
                </c:pt>
                <c:pt idx="3">
                  <c:v>No. TOTAL ESTUDIOS ECAP</c:v>
                </c:pt>
              </c:strCache>
            </c:strRef>
          </c:cat>
          <c:val>
            <c:numRef>
              <c:f>Resultados_líneas_investigación!$C$7:$F$7</c:f>
              <c:numCache>
                <c:formatCode>General</c:formatCode>
                <c:ptCount val="4"/>
                <c:pt idx="0">
                  <c:v>0</c:v>
                </c:pt>
                <c:pt idx="1">
                  <c:v>0</c:v>
                </c:pt>
                <c:pt idx="2">
                  <c:v>0</c:v>
                </c:pt>
                <c:pt idx="3">
                  <c:v>0</c:v>
                </c:pt>
              </c:numCache>
            </c:numRef>
          </c:val>
        </c:ser>
        <c:ser>
          <c:idx val="5"/>
          <c:order val="5"/>
          <c:tx>
            <c:strRef>
              <c:f>Resultados_líneas_investigación!$B$8</c:f>
              <c:strCache>
                <c:ptCount val="1"/>
                <c:pt idx="0">
                  <c:v>Manejo de embalses</c:v>
                </c:pt>
              </c:strCache>
            </c:strRef>
          </c:tx>
          <c:spPr>
            <a:pattFill xmlns:a="http://schemas.openxmlformats.org/drawingml/2006/main" prst="narHorz">
              <a:fgClr>
                <a:schemeClr val="accent6"/>
              </a:fgClr>
              <a:bgClr>
                <a:schemeClr val="accent6">
                  <a:lumMod val="20000"/>
                  <a:lumOff val="80000"/>
                </a:schemeClr>
              </a:bgClr>
            </a:pattFill>
            <a:ln xmlns:a="http://schemas.openxmlformats.org/drawingml/2006/main">
              <a:noFill/>
            </a:ln>
          </c:spPr>
          <c:cat>
            <c:strRef>
              <c:f>Resultados_líneas_investigación!$C$2:$F$2</c:f>
              <c:strCache>
                <c:ptCount val="4"/>
                <c:pt idx="0">
                  <c:v>No. Becarios </c:v>
                </c:pt>
                <c:pt idx="1">
                  <c:v>No. Apoyo a Investigaciones</c:v>
                </c:pt>
                <c:pt idx="2">
                  <c:v>No. Proyectos de Investigación</c:v>
                </c:pt>
                <c:pt idx="3">
                  <c:v>No. TOTAL ESTUDIOS ECAP</c:v>
                </c:pt>
              </c:strCache>
            </c:strRef>
          </c:cat>
          <c:val>
            <c:numRef>
              <c:f>Resultados_líneas_investigación!$C$8:$F$8</c:f>
              <c:numCache>
                <c:formatCode>General</c:formatCode>
                <c:ptCount val="4"/>
                <c:pt idx="0">
                  <c:v>7</c:v>
                </c:pt>
                <c:pt idx="1">
                  <c:v>11</c:v>
                </c:pt>
                <c:pt idx="2">
                  <c:v>1</c:v>
                </c:pt>
                <c:pt idx="3">
                  <c:v>19</c:v>
                </c:pt>
              </c:numCache>
            </c:numRef>
          </c:val>
        </c:ser>
        <c:ser>
          <c:idx val="6"/>
          <c:order val="6"/>
          <c:tx>
            <c:strRef>
              <c:f>Resultados_líneas_investigación!$B$9</c:f>
              <c:strCache>
                <c:ptCount val="1"/>
                <c:pt idx="0">
                  <c:v>Geología, Sismología y Vulcanología</c:v>
                </c:pt>
              </c:strCache>
            </c:strRef>
          </c:tx>
          <c:spPr>
            <a:pattFill xmlns:a="http://schemas.openxmlformats.org/drawingml/2006/main" prst="narHorz">
              <a:fgClr>
                <a:schemeClr val="accent1">
                  <a:lumMod val="60000"/>
                </a:schemeClr>
              </a:fgClr>
              <a:bgClr>
                <a:schemeClr val="accent1">
                  <a:lumMod val="60000"/>
                  <a:lumOff val="80000"/>
                </a:schemeClr>
              </a:bgClr>
            </a:pattFill>
            <a:ln xmlns:a="http://schemas.openxmlformats.org/drawingml/2006/main">
              <a:noFill/>
            </a:ln>
          </c:spPr>
          <c:cat>
            <c:strRef>
              <c:f>Resultados_líneas_investigación!$C$2:$F$2</c:f>
              <c:strCache>
                <c:ptCount val="4"/>
                <c:pt idx="0">
                  <c:v>No. Becarios </c:v>
                </c:pt>
                <c:pt idx="1">
                  <c:v>No. Apoyo a Investigaciones</c:v>
                </c:pt>
                <c:pt idx="2">
                  <c:v>No. Proyectos de Investigación</c:v>
                </c:pt>
                <c:pt idx="3">
                  <c:v>No. TOTAL ESTUDIOS ECAP</c:v>
                </c:pt>
              </c:strCache>
            </c:strRef>
          </c:cat>
          <c:val>
            <c:numRef>
              <c:f>Resultados_líneas_investigación!$C$9:$F$9</c:f>
              <c:numCache>
                <c:formatCode>General</c:formatCode>
                <c:ptCount val="4"/>
                <c:pt idx="0">
                  <c:v>0</c:v>
                </c:pt>
                <c:pt idx="1">
                  <c:v>0</c:v>
                </c:pt>
                <c:pt idx="2">
                  <c:v>0</c:v>
                </c:pt>
                <c:pt idx="3">
                  <c:v>0</c:v>
                </c:pt>
              </c:numCache>
            </c:numRef>
          </c:val>
        </c:ser>
        <c:ser>
          <c:idx val="7"/>
          <c:order val="7"/>
          <c:tx>
            <c:strRef>
              <c:f>Resultados_líneas_investigación!$B$10</c:f>
              <c:strCache>
                <c:ptCount val="1"/>
                <c:pt idx="0">
                  <c:v>Análisis Socioeconómicos y Ambientales</c:v>
                </c:pt>
              </c:strCache>
            </c:strRef>
          </c:tx>
          <c:spPr>
            <a:pattFill xmlns:a="http://schemas.openxmlformats.org/drawingml/2006/main" prst="narHorz">
              <a:fgClr>
                <a:schemeClr val="accent2">
                  <a:lumMod val="60000"/>
                </a:schemeClr>
              </a:fgClr>
              <a:bgClr>
                <a:schemeClr val="accent2">
                  <a:lumMod val="60000"/>
                  <a:lumOff val="80000"/>
                </a:schemeClr>
              </a:bgClr>
            </a:pattFill>
            <a:ln xmlns:a="http://schemas.openxmlformats.org/drawingml/2006/main">
              <a:noFill/>
            </a:ln>
          </c:spPr>
          <c:cat>
            <c:strRef>
              <c:f>Resultados_líneas_investigación!$C$2:$F$2</c:f>
              <c:strCache>
                <c:ptCount val="4"/>
                <c:pt idx="0">
                  <c:v>No. Becarios </c:v>
                </c:pt>
                <c:pt idx="1">
                  <c:v>No. Apoyo a Investigaciones</c:v>
                </c:pt>
                <c:pt idx="2">
                  <c:v>No. Proyectos de Investigación</c:v>
                </c:pt>
                <c:pt idx="3">
                  <c:v>No. TOTAL ESTUDIOS ECAP</c:v>
                </c:pt>
              </c:strCache>
            </c:strRef>
          </c:cat>
          <c:val>
            <c:numRef>
              <c:f>Resultados_líneas_investigación!$C$10:$F$10</c:f>
              <c:numCache>
                <c:formatCode>General</c:formatCode>
                <c:ptCount val="4"/>
                <c:pt idx="0">
                  <c:v>1</c:v>
                </c:pt>
                <c:pt idx="1">
                  <c:v>2</c:v>
                </c:pt>
                <c:pt idx="2">
                  <c:v>0</c:v>
                </c:pt>
                <c:pt idx="3">
                  <c:v>3</c:v>
                </c:pt>
              </c:numCache>
            </c:numRef>
          </c:val>
        </c:ser>
        <c:ser>
          <c:idx val="8"/>
          <c:order val="8"/>
          <c:tx>
            <c:strRef>
              <c:f>Resultados_líneas_investigación!$B$11</c:f>
              <c:strCache>
                <c:ptCount val="1"/>
                <c:pt idx="0">
                  <c:v>Economía Ecológica y Economía Ambiental</c:v>
                </c:pt>
              </c:strCache>
            </c:strRef>
          </c:tx>
          <c:spPr>
            <a:pattFill xmlns:a="http://schemas.openxmlformats.org/drawingml/2006/main" prst="narHorz">
              <a:fgClr>
                <a:schemeClr val="accent3">
                  <a:lumMod val="60000"/>
                </a:schemeClr>
              </a:fgClr>
              <a:bgClr>
                <a:schemeClr val="accent3">
                  <a:lumMod val="60000"/>
                  <a:lumOff val="80000"/>
                </a:schemeClr>
              </a:bgClr>
            </a:pattFill>
            <a:ln xmlns:a="http://schemas.openxmlformats.org/drawingml/2006/main">
              <a:noFill/>
            </a:ln>
          </c:spPr>
          <c:cat>
            <c:strRef>
              <c:f>Resultados_líneas_investigación!$C$2:$F$2</c:f>
              <c:strCache>
                <c:ptCount val="4"/>
                <c:pt idx="0">
                  <c:v>No. Becarios </c:v>
                </c:pt>
                <c:pt idx="1">
                  <c:v>No. Apoyo a Investigaciones</c:v>
                </c:pt>
                <c:pt idx="2">
                  <c:v>No. Proyectos de Investigación</c:v>
                </c:pt>
                <c:pt idx="3">
                  <c:v>No. TOTAL ESTUDIOS ECAP</c:v>
                </c:pt>
              </c:strCache>
            </c:strRef>
          </c:cat>
          <c:val>
            <c:numRef>
              <c:f>Resultados_líneas_investigación!$C$11:$F$11</c:f>
              <c:numCache>
                <c:formatCode>General</c:formatCode>
                <c:ptCount val="4"/>
                <c:pt idx="0">
                  <c:v>0</c:v>
                </c:pt>
                <c:pt idx="1">
                  <c:v>0</c:v>
                </c:pt>
                <c:pt idx="2">
                  <c:v>0</c:v>
                </c:pt>
                <c:pt idx="3">
                  <c:v>0</c:v>
                </c:pt>
              </c:numCache>
            </c:numRef>
          </c:val>
        </c:ser>
        <c:ser>
          <c:idx val="9"/>
          <c:order val="9"/>
          <c:tx>
            <c:strRef>
              <c:f>Resultados_líneas_investigación!$B$12</c:f>
              <c:strCache>
                <c:ptCount val="1"/>
                <c:pt idx="0">
                  <c:v>Energía Renovable</c:v>
                </c:pt>
              </c:strCache>
            </c:strRef>
          </c:tx>
          <c:spPr>
            <a:pattFill xmlns:a="http://schemas.openxmlformats.org/drawingml/2006/main" prst="narHorz">
              <a:fgClr>
                <a:schemeClr val="accent4">
                  <a:lumMod val="60000"/>
                </a:schemeClr>
              </a:fgClr>
              <a:bgClr>
                <a:schemeClr val="accent4">
                  <a:lumMod val="60000"/>
                  <a:lumOff val="80000"/>
                </a:schemeClr>
              </a:bgClr>
            </a:pattFill>
            <a:ln xmlns:a="http://schemas.openxmlformats.org/drawingml/2006/main">
              <a:noFill/>
            </a:ln>
          </c:spPr>
          <c:cat>
            <c:strRef>
              <c:f>Resultados_líneas_investigación!$C$2:$F$2</c:f>
              <c:strCache>
                <c:ptCount val="4"/>
                <c:pt idx="0">
                  <c:v>No. Becarios </c:v>
                </c:pt>
                <c:pt idx="1">
                  <c:v>No. Apoyo a Investigaciones</c:v>
                </c:pt>
                <c:pt idx="2">
                  <c:v>No. Proyectos de Investigación</c:v>
                </c:pt>
                <c:pt idx="3">
                  <c:v>No. TOTAL ESTUDIOS ECAP</c:v>
                </c:pt>
              </c:strCache>
            </c:strRef>
          </c:cat>
          <c:val>
            <c:numRef>
              <c:f>Resultados_líneas_investigación!$C$12:$F$12</c:f>
              <c:numCache>
                <c:formatCode>General</c:formatCode>
                <c:ptCount val="4"/>
                <c:pt idx="0">
                  <c:v>0</c:v>
                </c:pt>
                <c:pt idx="1">
                  <c:v>0</c:v>
                </c:pt>
                <c:pt idx="2">
                  <c:v>0</c:v>
                </c:pt>
                <c:pt idx="3">
                  <c:v>0</c:v>
                </c:pt>
              </c:numCache>
            </c:numRef>
          </c:val>
        </c:ser>
        <c:dLbls>
          <c:showLegendKey val="0"/>
          <c:showVal val="0"/>
          <c:showCatName val="0"/>
          <c:showSerName val="0"/>
          <c:showPercent val="0"/>
          <c:showBubbleSize val="0"/>
        </c:dLbls>
        <c:gapWidth val="164"/>
        <c:overlap val="-22"/>
        <c:axId val="447969888"/>
        <c:axId val="447965184"/>
      </c:barChart>
      <c:catAx>
        <c:axId val="447969888"/>
        <c:scaling>
          <c:orientation val="minMax"/>
        </c:scaling>
        <c:delete val="0"/>
        <c:axPos val="b"/>
        <c:numFmt formatCode="General" sourceLinked="1"/>
        <c:majorTickMark val="none"/>
        <c:minorTickMark val="none"/>
        <c:tickLblPos val="nextTo"/>
        <c:spPr>
          <a:ln xmlns:a="http://schemas.openxmlformats.org/drawingml/2006/main" w="19050" cmpd="sng">
            <a:solidFill>
              <a:schemeClr val="tx1">
                <a:lumMod val="25000"/>
                <a:lumOff val="75000"/>
              </a:schemeClr>
            </a:solidFill>
          </a:ln>
        </c:spPr>
        <c:txPr>
          <a:bodyPr xmlns:a="http://schemas.openxmlformats.org/drawingml/2006/main" rot="-60000000" spcFirstLastPara="1" vert="horz" wrap="square" anchor="ctr" anchorCtr="1"/>
          <a:lstStyle xmlns:a="http://schemas.openxmlformats.org/drawingml/2006/main"/>
          <a:p xmlns:a="http://schemas.openxmlformats.org/drawingml/2006/main">
            <a:pPr>
              <a:defRPr sz="800" b="0" i="0" u="none">
                <a:solidFill>
                  <a:schemeClr val="tx1">
                    <a:lumMod val="65000"/>
                    <a:lumOff val="35000"/>
                  </a:schemeClr>
                </a:solidFill>
                <a:latin typeface="+mn-lt"/>
                <a:ea typeface="+mn-lt"/>
                <a:cs typeface="+mn-lt"/>
              </a:defRPr>
            </a:pPr>
          </a:p>
        </c:txPr>
        <c:crossAx val="447965184"/>
        <c:crosses val="autoZero"/>
        <c:lblOffset val="100"/>
      </c:catAx>
      <c:valAx>
        <c:axId val="447965184"/>
        <c:scaling>
          <c:orientation val="minMax"/>
        </c:scaling>
        <c:delete val="0"/>
        <c:axPos val="l"/>
        <c:numFmt formatCode="General" sourceLinked="1"/>
        <c:majorTickMark val="none"/>
        <c:minorTickMark val="none"/>
        <c:tickLblPos val="nextTo"/>
        <c:spPr>
          <a:ln xmlns:a="http://schemas.openxmlformats.org/drawingml/2006/main">
            <a:noFill/>
          </a:ln>
        </c:spPr>
        <c:txPr>
          <a:bodyPr xmlns:a="http://schemas.openxmlformats.org/drawingml/2006/main" rot="-60000000" vert="horz" anchor="ctr" anchorCtr="1"/>
          <a:lstStyle xmlns:a="http://schemas.openxmlformats.org/drawingml/2006/main"/>
          <a:p xmlns:a="http://schemas.openxmlformats.org/drawingml/2006/main">
            <a:pPr>
              <a:defRPr sz="900" b="0" i="0" u="none">
                <a:solidFill>
                  <a:schemeClr val="tx1">
                    <a:lumMod val="65000"/>
                    <a:lumOff val="35000"/>
                  </a:schemeClr>
                </a:solidFill>
                <a:latin typeface="+mn-lt"/>
                <a:ea typeface="+mn-lt"/>
                <a:cs typeface="+mn-lt"/>
              </a:defRPr>
            </a:pPr>
          </a:p>
        </c:txPr>
        <c:crossAx val="447969888"/>
        <c:crosses val="autoZero"/>
        <c:crossBetween val="between"/>
      </c:valAx>
      <c:spPr>
        <a:noFill xmlns:a="http://schemas.openxmlformats.org/drawingml/2006/main"/>
        <a:ln xmlns:a="http://schemas.openxmlformats.org/drawingml/2006/main">
          <a:noFill/>
        </a:ln>
      </c:spPr>
    </c:plotArea>
    <c:legend>
      <c:legendPos val="r"/>
      <c:layout>
        <c:manualLayout>
          <c:xMode val="edge"/>
          <c:yMode val="edge"/>
          <c:x val="0.6607938623056734"/>
          <c:y val="0.1979138257159196"/>
          <c:w val="0.3259188370684434"/>
          <c:h val="0.796321060426106"/>
        </c:manualLayout>
      </c:layout>
      <c:overlay val="0"/>
      <c:spPr>
        <a:noFill xmlns:a="http://schemas.openxmlformats.org/drawingml/2006/main"/>
      </c:spPr>
      <c:txPr>
        <a:bodyPr xmlns:a="http://schemas.openxmlformats.org/drawingml/2006/main" rot="0" vert="horz" anchor="ctr" anchorCtr="1"/>
        <a:lstStyle xmlns:a="http://schemas.openxmlformats.org/drawingml/2006/main"/>
        <a:p xmlns:a="http://schemas.openxmlformats.org/drawingml/2006/main">
          <a:pPr>
            <a:defRPr sz="800" b="0" i="0" u="none">
              <a:solidFill>
                <a:schemeClr val="tx1">
                  <a:lumMod val="65000"/>
                  <a:lumOff val="35000"/>
                </a:schemeClr>
              </a:solidFill>
              <a:latin typeface="+mn-lt"/>
              <a:ea typeface="+mn-lt"/>
              <a:cs typeface="+mn-lt"/>
            </a:defRPr>
          </a:pPr>
        </a:p>
      </c:txPr>
    </c:legend>
    <c:plotVisOnly val="1"/>
  </c:chart>
  <c:spPr>
    <a:solidFill xmlns:a="http://schemas.openxmlformats.org/drawingml/2006/main">
      <a:schemeClr val="bg1"/>
    </a:solidFill>
    <a:ln xmlns:a="http://schemas.openxmlformats.org/drawingml/2006/main" w="9525" cmpd="sng">
      <a:solidFill>
        <a:schemeClr val="tx1">
          <a:lumMod val="15000"/>
          <a:lumOff val="85000"/>
        </a:schemeClr>
      </a:solidFill>
    </a:ln>
  </c:spPr>
</c:chartSpace>
</file>

<file path=xl/drawings/charts/chart2.xml><?xml version="1.0" encoding="utf-8"?>
<c:chartSpace xmlns:mc="http://schemas.openxmlformats.org/markup-compatibility/2006" xmlns:c14="http://schemas.microsoft.com/office/drawing/2007/8/2/chart" xmlns:c="http://schemas.openxmlformats.org/drawingml/2006/chart" mc:Ignorable="c14">
  <c:lang val="en-US"/>
  <c:roundedCorners val="0"/>
  <mc:AlternateContent>
    <mc:Choice Requires="c14">
      <c14:style val="102"/>
    </mc:Choice>
    <mc:Fallback>
      <c:style val="2"/>
    </mc:Fallback>
  </mc:AlternateContent>
  <c:chart>
    <c:title>
      <c:tx>
        <c:rich>
          <a:bodyPr xmlns:a="http://schemas.openxmlformats.org/drawingml/2006/main"/>
          <a:lstStyle xmlns:a="http://schemas.openxmlformats.org/drawingml/2006/main"/>
          <a:p xmlns:a="http://schemas.openxmlformats.org/drawingml/2006/main">
            <a:r>
              <a:rPr sz="1400" b="1" i="0" u="none" cap="all" spc="150">
                <a:solidFill>
                  <a:schemeClr val="tx1"/>
                </a:solidFill>
                <a:latin typeface="+mn-lt"/>
                <a:ea typeface="+mn-lt"/>
                <a:cs typeface="+mn-lt"/>
              </a:rPr>
              <a:t>ESTUDIOS ECAP POR LÍNEAS PRIORITARIAS DE INVESTIGACIÓN</a:t>
            </a:r>
          </a:p>
        </c:rich>
      </c:tx>
      <c:layout>
        <c:manualLayout>
          <c:xMode val="edge"/>
          <c:yMode val="edge"/>
          <c:x val="0.061988088027458116"/>
          <c:y val="0.03810466429126527"/>
        </c:manualLayout>
      </c:layout>
      <c:overlay val="0"/>
      <c:txPr>
        <a:bodyPr xmlns:a="http://schemas.openxmlformats.org/drawingml/2006/main" rot="0" vert="horz" anchor="ctr" anchorCtr="1"/>
        <a:lstStyle xmlns:a="http://schemas.openxmlformats.org/drawingml/2006/main"/>
        <a:p xmlns:a="http://schemas.openxmlformats.org/drawingml/2006/main">
          <a:pPr>
            <a:defRPr sz="1400" b="1" i="0" u="none" cap="all" spc="150">
              <a:solidFill>
                <a:schemeClr val="tx1"/>
              </a:solidFill>
              <a:latin typeface="+mn-lt"/>
              <a:ea typeface="+mn-lt"/>
              <a:cs typeface="+mn-lt"/>
            </a:defRPr>
          </a:pPr>
        </a:p>
      </c:txPr>
    </c:title>
    <c:autoTitleDeleted val="0"/>
    <c:plotArea>
      <c:barChart>
        <c:barDir val="col"/>
        <c:grouping val="clustered"/>
        <c:varyColors val="0"/>
        <c:ser>
          <c:idx val="0"/>
          <c:order val="0"/>
          <c:tx>
            <c:strRef>
              <c:f>Resultados_líneas_investigación!$B$18</c:f>
              <c:strCache>
                <c:ptCount val="1"/>
                <c:pt idx="0">
                  <c:v>Restauración de la cobertura vegetal</c:v>
                </c:pt>
              </c:strCache>
            </c:strRef>
          </c:tx>
          <c:spPr>
            <a:pattFill xmlns:a="http://schemas.openxmlformats.org/drawingml/2006/main" prst="narHorz">
              <a:fgClr>
                <a:schemeClr val="accent1"/>
              </a:fgClr>
              <a:bgClr>
                <a:schemeClr val="accent1">
                  <a:lumMod val="20000"/>
                  <a:lumOff val="80000"/>
                </a:schemeClr>
              </a:bgClr>
            </a:pattFill>
            <a:ln xmlns:a="http://schemas.openxmlformats.org/drawingml/2006/main">
              <a:noFill/>
            </a:ln>
          </c:spPr>
          <c:cat>
            <c:strRef>
              <c:f>Resultados_líneas_investigación!$C$17:$F$17</c:f>
              <c:strCache>
                <c:ptCount val="4"/>
                <c:pt idx="0">
                  <c:v>Becarios (%)</c:v>
                </c:pt>
                <c:pt idx="1">
                  <c:v>Apoyo a Investigaciones (%)</c:v>
                </c:pt>
                <c:pt idx="2">
                  <c:v>Proyectos de Investigación (%)</c:v>
                </c:pt>
                <c:pt idx="3">
                  <c:v>TOTAL ESTUDIOS ECAP (%)</c:v>
                </c:pt>
              </c:strCache>
            </c:strRef>
          </c:cat>
          <c:val>
            <c:numRef>
              <c:f>Resultados_líneas_investigación!$C$18:$F$18</c:f>
              <c:numCache>
                <c:formatCode>0</c:formatCode>
                <c:ptCount val="4"/>
                <c:pt idx="0">
                  <c:v>4</c:v>
                </c:pt>
                <c:pt idx="1">
                  <c:v>8.571428571428571</c:v>
                </c:pt>
                <c:pt idx="2">
                  <c:v>8.333333333333332</c:v>
                </c:pt>
                <c:pt idx="3">
                  <c:v>6.944444444444445</c:v>
                </c:pt>
              </c:numCache>
            </c:numRef>
          </c:val>
        </c:ser>
        <c:ser>
          <c:idx val="1"/>
          <c:order val="1"/>
          <c:tx>
            <c:strRef>
              <c:f>Resultados_líneas_investigación!$B$19</c:f>
              <c:strCache>
                <c:ptCount val="1"/>
                <c:pt idx="0">
                  <c:v>Hidrología</c:v>
                </c:pt>
              </c:strCache>
            </c:strRef>
          </c:tx>
          <c:spPr>
            <a:pattFill xmlns:a="http://schemas.openxmlformats.org/drawingml/2006/main" prst="narHorz">
              <a:fgClr>
                <a:schemeClr val="accent2"/>
              </a:fgClr>
              <a:bgClr>
                <a:schemeClr val="accent2">
                  <a:lumMod val="20000"/>
                  <a:lumOff val="80000"/>
                </a:schemeClr>
              </a:bgClr>
            </a:pattFill>
            <a:ln xmlns:a="http://schemas.openxmlformats.org/drawingml/2006/main">
              <a:noFill/>
            </a:ln>
          </c:spPr>
          <c:cat>
            <c:strRef>
              <c:f>Resultados_líneas_investigación!$C$17:$F$17</c:f>
              <c:strCache>
                <c:ptCount val="4"/>
                <c:pt idx="0">
                  <c:v>Becarios (%)</c:v>
                </c:pt>
                <c:pt idx="1">
                  <c:v>Apoyo a Investigaciones (%)</c:v>
                </c:pt>
                <c:pt idx="2">
                  <c:v>Proyectos de Investigación (%)</c:v>
                </c:pt>
                <c:pt idx="3">
                  <c:v>TOTAL ESTUDIOS ECAP (%)</c:v>
                </c:pt>
              </c:strCache>
            </c:strRef>
          </c:cat>
          <c:val>
            <c:numRef>
              <c:f>Resultados_líneas_investigación!$C$19:$F$19</c:f>
              <c:numCache>
                <c:formatCode>0</c:formatCode>
                <c:ptCount val="4"/>
                <c:pt idx="0">
                  <c:v>36</c:v>
                </c:pt>
                <c:pt idx="1">
                  <c:v>45.714285714285715</c:v>
                </c:pt>
                <c:pt idx="2">
                  <c:v>58.333333333333336</c:v>
                </c:pt>
                <c:pt idx="3">
                  <c:v>44.44444444444444</c:v>
                </c:pt>
              </c:numCache>
            </c:numRef>
          </c:val>
        </c:ser>
        <c:ser>
          <c:idx val="2"/>
          <c:order val="2"/>
          <c:tx>
            <c:strRef>
              <c:f>Resultados_líneas_investigación!$B$20</c:f>
              <c:strCache>
                <c:ptCount val="1"/>
                <c:pt idx="0">
                  <c:v>Hidrogeología</c:v>
                </c:pt>
              </c:strCache>
            </c:strRef>
          </c:tx>
          <c:spPr>
            <a:pattFill xmlns:a="http://schemas.openxmlformats.org/drawingml/2006/main" prst="narHorz">
              <a:fgClr>
                <a:schemeClr val="accent3"/>
              </a:fgClr>
              <a:bgClr>
                <a:schemeClr val="accent3">
                  <a:lumMod val="20000"/>
                  <a:lumOff val="80000"/>
                </a:schemeClr>
              </a:bgClr>
            </a:pattFill>
            <a:ln xmlns:a="http://schemas.openxmlformats.org/drawingml/2006/main">
              <a:noFill/>
            </a:ln>
          </c:spPr>
          <c:cat>
            <c:strRef>
              <c:f>Resultados_líneas_investigación!$C$17:$F$17</c:f>
              <c:strCache>
                <c:ptCount val="4"/>
                <c:pt idx="0">
                  <c:v>Becarios (%)</c:v>
                </c:pt>
                <c:pt idx="1">
                  <c:v>Apoyo a Investigaciones (%)</c:v>
                </c:pt>
                <c:pt idx="2">
                  <c:v>Proyectos de Investigación (%)</c:v>
                </c:pt>
                <c:pt idx="3">
                  <c:v>TOTAL ESTUDIOS ECAP (%)</c:v>
                </c:pt>
              </c:strCache>
            </c:strRef>
          </c:cat>
          <c:val>
            <c:numRef>
              <c:f>Resultados_líneas_investigación!$C$20:$F$20</c:f>
              <c:numCache>
                <c:formatCode>0</c:formatCode>
                <c:ptCount val="4"/>
                <c:pt idx="0">
                  <c:v>4</c:v>
                </c:pt>
                <c:pt idx="1">
                  <c:v>8.571428571428571</c:v>
                </c:pt>
                <c:pt idx="2">
                  <c:v>8.333333333333332</c:v>
                </c:pt>
                <c:pt idx="3">
                  <c:v>6.944444444444445</c:v>
                </c:pt>
              </c:numCache>
            </c:numRef>
          </c:val>
        </c:ser>
        <c:ser>
          <c:idx val="3"/>
          <c:order val="3"/>
          <c:tx>
            <c:strRef>
              <c:f>Resultados_líneas_investigación!$B$21</c:f>
              <c:strCache>
                <c:ptCount val="1"/>
                <c:pt idx="0">
                  <c:v>Ecología de páramo</c:v>
                </c:pt>
              </c:strCache>
            </c:strRef>
          </c:tx>
          <c:spPr>
            <a:pattFill xmlns:a="http://schemas.openxmlformats.org/drawingml/2006/main" prst="narHorz">
              <a:fgClr>
                <a:schemeClr val="accent4"/>
              </a:fgClr>
              <a:bgClr>
                <a:schemeClr val="accent4">
                  <a:lumMod val="20000"/>
                  <a:lumOff val="80000"/>
                </a:schemeClr>
              </a:bgClr>
            </a:pattFill>
            <a:ln xmlns:a="http://schemas.openxmlformats.org/drawingml/2006/main">
              <a:noFill/>
            </a:ln>
          </c:spPr>
          <c:cat>
            <c:strRef>
              <c:f>Resultados_líneas_investigación!$C$17:$F$17</c:f>
              <c:strCache>
                <c:ptCount val="4"/>
                <c:pt idx="0">
                  <c:v>Becarios (%)</c:v>
                </c:pt>
                <c:pt idx="1">
                  <c:v>Apoyo a Investigaciones (%)</c:v>
                </c:pt>
                <c:pt idx="2">
                  <c:v>Proyectos de Investigación (%)</c:v>
                </c:pt>
                <c:pt idx="3">
                  <c:v>TOTAL ESTUDIOS ECAP (%)</c:v>
                </c:pt>
              </c:strCache>
            </c:strRef>
          </c:cat>
          <c:val>
            <c:numRef>
              <c:f>Resultados_líneas_investigación!$C$21:$F$21</c:f>
              <c:numCache>
                <c:formatCode>0</c:formatCode>
                <c:ptCount val="4"/>
                <c:pt idx="0">
                  <c:v>24</c:v>
                </c:pt>
                <c:pt idx="1">
                  <c:v>0</c:v>
                </c:pt>
                <c:pt idx="2">
                  <c:v>16.666666666666664</c:v>
                </c:pt>
                <c:pt idx="3">
                  <c:v>11.11111111111111</c:v>
                </c:pt>
              </c:numCache>
            </c:numRef>
          </c:val>
        </c:ser>
        <c:ser>
          <c:idx val="4"/>
          <c:order val="4"/>
          <c:tx>
            <c:strRef>
              <c:f>Resultados_líneas_investigación!$B$22</c:f>
              <c:strCache>
                <c:ptCount val="1"/>
                <c:pt idx="0">
                  <c:v>Cambio climático y global</c:v>
                </c:pt>
              </c:strCache>
            </c:strRef>
          </c:tx>
          <c:spPr>
            <a:pattFill xmlns:a="http://schemas.openxmlformats.org/drawingml/2006/main" prst="narHorz">
              <a:fgClr>
                <a:schemeClr val="accent5"/>
              </a:fgClr>
              <a:bgClr>
                <a:schemeClr val="accent5">
                  <a:lumMod val="20000"/>
                  <a:lumOff val="80000"/>
                </a:schemeClr>
              </a:bgClr>
            </a:pattFill>
            <a:ln xmlns:a="http://schemas.openxmlformats.org/drawingml/2006/main">
              <a:noFill/>
            </a:ln>
          </c:spPr>
          <c:cat>
            <c:strRef>
              <c:f>Resultados_líneas_investigación!$C$17:$F$17</c:f>
              <c:strCache>
                <c:ptCount val="4"/>
                <c:pt idx="0">
                  <c:v>Becarios (%)</c:v>
                </c:pt>
                <c:pt idx="1">
                  <c:v>Apoyo a Investigaciones (%)</c:v>
                </c:pt>
                <c:pt idx="2">
                  <c:v>Proyectos de Investigación (%)</c:v>
                </c:pt>
                <c:pt idx="3">
                  <c:v>TOTAL ESTUDIOS ECAP (%)</c:v>
                </c:pt>
              </c:strCache>
            </c:strRef>
          </c:cat>
          <c:val>
            <c:numRef>
              <c:f>Resultados_líneas_investigación!$C$22:$F$22</c:f>
              <c:numCache>
                <c:formatCode>0</c:formatCode>
                <c:ptCount val="4"/>
                <c:pt idx="0">
                  <c:v>0</c:v>
                </c:pt>
                <c:pt idx="1">
                  <c:v>0</c:v>
                </c:pt>
                <c:pt idx="2">
                  <c:v>0</c:v>
                </c:pt>
                <c:pt idx="3">
                  <c:v>0</c:v>
                </c:pt>
              </c:numCache>
            </c:numRef>
          </c:val>
        </c:ser>
        <c:ser>
          <c:idx val="5"/>
          <c:order val="5"/>
          <c:tx>
            <c:strRef>
              <c:f>Resultados_líneas_investigación!$B$23</c:f>
              <c:strCache>
                <c:ptCount val="1"/>
                <c:pt idx="0">
                  <c:v>Manejo de embalses</c:v>
                </c:pt>
              </c:strCache>
            </c:strRef>
          </c:tx>
          <c:spPr>
            <a:pattFill xmlns:a="http://schemas.openxmlformats.org/drawingml/2006/main" prst="narHorz">
              <a:fgClr>
                <a:schemeClr val="accent6"/>
              </a:fgClr>
              <a:bgClr>
                <a:schemeClr val="accent6">
                  <a:lumMod val="20000"/>
                  <a:lumOff val="80000"/>
                </a:schemeClr>
              </a:bgClr>
            </a:pattFill>
            <a:ln xmlns:a="http://schemas.openxmlformats.org/drawingml/2006/main">
              <a:noFill/>
            </a:ln>
          </c:spPr>
          <c:cat>
            <c:strRef>
              <c:f>Resultados_líneas_investigación!$C$17:$F$17</c:f>
              <c:strCache>
                <c:ptCount val="4"/>
                <c:pt idx="0">
                  <c:v>Becarios (%)</c:v>
                </c:pt>
                <c:pt idx="1">
                  <c:v>Apoyo a Investigaciones (%)</c:v>
                </c:pt>
                <c:pt idx="2">
                  <c:v>Proyectos de Investigación (%)</c:v>
                </c:pt>
                <c:pt idx="3">
                  <c:v>TOTAL ESTUDIOS ECAP (%)</c:v>
                </c:pt>
              </c:strCache>
            </c:strRef>
          </c:cat>
          <c:val>
            <c:numRef>
              <c:f>Resultados_líneas_investigación!$C$23:$F$23</c:f>
              <c:numCache>
                <c:formatCode>0</c:formatCode>
                <c:ptCount val="4"/>
                <c:pt idx="0">
                  <c:v>28.000000000000004</c:v>
                </c:pt>
                <c:pt idx="1">
                  <c:v>31.428571428571427</c:v>
                </c:pt>
                <c:pt idx="2">
                  <c:v>8.333333333333332</c:v>
                </c:pt>
                <c:pt idx="3">
                  <c:v>26.38888888888889</c:v>
                </c:pt>
              </c:numCache>
            </c:numRef>
          </c:val>
        </c:ser>
        <c:ser>
          <c:idx val="6"/>
          <c:order val="6"/>
          <c:tx>
            <c:strRef>
              <c:f>Resultados_líneas_investigación!$B$24</c:f>
              <c:strCache>
                <c:ptCount val="1"/>
                <c:pt idx="0">
                  <c:v>Geología, Sismología y Vulcanología</c:v>
                </c:pt>
              </c:strCache>
            </c:strRef>
          </c:tx>
          <c:spPr>
            <a:pattFill xmlns:a="http://schemas.openxmlformats.org/drawingml/2006/main" prst="narHorz">
              <a:fgClr>
                <a:schemeClr val="accent1">
                  <a:lumMod val="60000"/>
                </a:schemeClr>
              </a:fgClr>
              <a:bgClr>
                <a:schemeClr val="accent1">
                  <a:lumMod val="60000"/>
                  <a:lumOff val="80000"/>
                </a:schemeClr>
              </a:bgClr>
            </a:pattFill>
            <a:ln xmlns:a="http://schemas.openxmlformats.org/drawingml/2006/main">
              <a:noFill/>
            </a:ln>
          </c:spPr>
          <c:cat>
            <c:strRef>
              <c:f>Resultados_líneas_investigación!$C$17:$F$17</c:f>
              <c:strCache>
                <c:ptCount val="4"/>
                <c:pt idx="0">
                  <c:v>Becarios (%)</c:v>
                </c:pt>
                <c:pt idx="1">
                  <c:v>Apoyo a Investigaciones (%)</c:v>
                </c:pt>
                <c:pt idx="2">
                  <c:v>Proyectos de Investigación (%)</c:v>
                </c:pt>
                <c:pt idx="3">
                  <c:v>TOTAL ESTUDIOS ECAP (%)</c:v>
                </c:pt>
              </c:strCache>
            </c:strRef>
          </c:cat>
          <c:val>
            <c:numRef>
              <c:f>Resultados_líneas_investigación!$C$24:$F$24</c:f>
              <c:numCache>
                <c:formatCode>0</c:formatCode>
                <c:ptCount val="4"/>
                <c:pt idx="0">
                  <c:v>0</c:v>
                </c:pt>
                <c:pt idx="1">
                  <c:v>0</c:v>
                </c:pt>
                <c:pt idx="2">
                  <c:v>0</c:v>
                </c:pt>
                <c:pt idx="3">
                  <c:v>0</c:v>
                </c:pt>
              </c:numCache>
            </c:numRef>
          </c:val>
        </c:ser>
        <c:ser>
          <c:idx val="7"/>
          <c:order val="7"/>
          <c:tx>
            <c:strRef>
              <c:f>Resultados_líneas_investigación!$B$25</c:f>
              <c:strCache>
                <c:ptCount val="1"/>
                <c:pt idx="0">
                  <c:v>Análisis Socioeconómicos y Ambientales</c:v>
                </c:pt>
              </c:strCache>
            </c:strRef>
          </c:tx>
          <c:spPr>
            <a:pattFill xmlns:a="http://schemas.openxmlformats.org/drawingml/2006/main" prst="narHorz">
              <a:fgClr>
                <a:schemeClr val="accent2">
                  <a:lumMod val="60000"/>
                </a:schemeClr>
              </a:fgClr>
              <a:bgClr>
                <a:schemeClr val="accent2">
                  <a:lumMod val="60000"/>
                  <a:lumOff val="80000"/>
                </a:schemeClr>
              </a:bgClr>
            </a:pattFill>
            <a:ln xmlns:a="http://schemas.openxmlformats.org/drawingml/2006/main">
              <a:noFill/>
            </a:ln>
          </c:spPr>
          <c:cat>
            <c:strRef>
              <c:f>Resultados_líneas_investigación!$C$17:$F$17</c:f>
              <c:strCache>
                <c:ptCount val="4"/>
                <c:pt idx="0">
                  <c:v>Becarios (%)</c:v>
                </c:pt>
                <c:pt idx="1">
                  <c:v>Apoyo a Investigaciones (%)</c:v>
                </c:pt>
                <c:pt idx="2">
                  <c:v>Proyectos de Investigación (%)</c:v>
                </c:pt>
                <c:pt idx="3">
                  <c:v>TOTAL ESTUDIOS ECAP (%)</c:v>
                </c:pt>
              </c:strCache>
            </c:strRef>
          </c:cat>
          <c:val>
            <c:numRef>
              <c:f>Resultados_líneas_investigación!$C$25:$F$25</c:f>
              <c:numCache>
                <c:formatCode>0</c:formatCode>
                <c:ptCount val="4"/>
                <c:pt idx="0">
                  <c:v>4</c:v>
                </c:pt>
                <c:pt idx="1">
                  <c:v>5.714285714285714</c:v>
                </c:pt>
                <c:pt idx="2">
                  <c:v>0</c:v>
                </c:pt>
                <c:pt idx="3">
                  <c:v>4.166666666666666</c:v>
                </c:pt>
              </c:numCache>
            </c:numRef>
          </c:val>
        </c:ser>
        <c:ser>
          <c:idx val="8"/>
          <c:order val="8"/>
          <c:tx>
            <c:strRef>
              <c:f>Resultados_líneas_investigación!$B$26</c:f>
              <c:strCache>
                <c:ptCount val="1"/>
                <c:pt idx="0">
                  <c:v>Economía Ecológica y Economía Ambiental</c:v>
                </c:pt>
              </c:strCache>
            </c:strRef>
          </c:tx>
          <c:spPr>
            <a:pattFill xmlns:a="http://schemas.openxmlformats.org/drawingml/2006/main" prst="narHorz">
              <a:fgClr>
                <a:schemeClr val="accent3">
                  <a:lumMod val="60000"/>
                </a:schemeClr>
              </a:fgClr>
              <a:bgClr>
                <a:schemeClr val="accent3">
                  <a:lumMod val="60000"/>
                  <a:lumOff val="80000"/>
                </a:schemeClr>
              </a:bgClr>
            </a:pattFill>
            <a:ln xmlns:a="http://schemas.openxmlformats.org/drawingml/2006/main">
              <a:noFill/>
            </a:ln>
          </c:spPr>
          <c:cat>
            <c:strRef>
              <c:f>Resultados_líneas_investigación!$C$17:$F$17</c:f>
              <c:strCache>
                <c:ptCount val="4"/>
                <c:pt idx="0">
                  <c:v>Becarios (%)</c:v>
                </c:pt>
                <c:pt idx="1">
                  <c:v>Apoyo a Investigaciones (%)</c:v>
                </c:pt>
                <c:pt idx="2">
                  <c:v>Proyectos de Investigación (%)</c:v>
                </c:pt>
                <c:pt idx="3">
                  <c:v>TOTAL ESTUDIOS ECAP (%)</c:v>
                </c:pt>
              </c:strCache>
            </c:strRef>
          </c:cat>
          <c:val>
            <c:numRef>
              <c:f>Resultados_líneas_investigación!$C$26:$F$26</c:f>
              <c:numCache>
                <c:formatCode>0</c:formatCode>
                <c:ptCount val="4"/>
                <c:pt idx="0">
                  <c:v>0</c:v>
                </c:pt>
                <c:pt idx="1">
                  <c:v>0</c:v>
                </c:pt>
                <c:pt idx="2">
                  <c:v>0</c:v>
                </c:pt>
                <c:pt idx="3">
                  <c:v>0</c:v>
                </c:pt>
              </c:numCache>
            </c:numRef>
          </c:val>
        </c:ser>
        <c:ser>
          <c:idx val="9"/>
          <c:order val="9"/>
          <c:tx>
            <c:strRef>
              <c:f>Resultados_líneas_investigación!$B$27</c:f>
              <c:strCache>
                <c:ptCount val="1"/>
                <c:pt idx="0">
                  <c:v>Energía Renovable</c:v>
                </c:pt>
              </c:strCache>
            </c:strRef>
          </c:tx>
          <c:spPr>
            <a:pattFill xmlns:a="http://schemas.openxmlformats.org/drawingml/2006/main" prst="narHorz">
              <a:fgClr>
                <a:schemeClr val="accent4">
                  <a:lumMod val="60000"/>
                </a:schemeClr>
              </a:fgClr>
              <a:bgClr>
                <a:schemeClr val="accent4">
                  <a:lumMod val="60000"/>
                  <a:lumOff val="80000"/>
                </a:schemeClr>
              </a:bgClr>
            </a:pattFill>
            <a:ln xmlns:a="http://schemas.openxmlformats.org/drawingml/2006/main">
              <a:noFill/>
            </a:ln>
          </c:spPr>
          <c:cat>
            <c:strRef>
              <c:f>Resultados_líneas_investigación!$C$17:$F$17</c:f>
              <c:strCache>
                <c:ptCount val="4"/>
                <c:pt idx="0">
                  <c:v>Becarios (%)</c:v>
                </c:pt>
                <c:pt idx="1">
                  <c:v>Apoyo a Investigaciones (%)</c:v>
                </c:pt>
                <c:pt idx="2">
                  <c:v>Proyectos de Investigación (%)</c:v>
                </c:pt>
                <c:pt idx="3">
                  <c:v>TOTAL ESTUDIOS ECAP (%)</c:v>
                </c:pt>
              </c:strCache>
            </c:strRef>
          </c:cat>
          <c:val>
            <c:numRef>
              <c:f>Resultados_líneas_investigación!$C$27:$F$27</c:f>
              <c:numCache>
                <c:formatCode>0</c:formatCode>
                <c:ptCount val="4"/>
                <c:pt idx="0">
                  <c:v>0</c:v>
                </c:pt>
                <c:pt idx="1">
                  <c:v>0</c:v>
                </c:pt>
                <c:pt idx="2">
                  <c:v>0</c:v>
                </c:pt>
                <c:pt idx="3">
                  <c:v>0</c:v>
                </c:pt>
              </c:numCache>
            </c:numRef>
          </c:val>
        </c:ser>
        <c:dLbls>
          <c:showLegendKey val="0"/>
          <c:showVal val="0"/>
          <c:showCatName val="0"/>
          <c:showSerName val="0"/>
          <c:showPercent val="0"/>
          <c:showBubbleSize val="0"/>
        </c:dLbls>
        <c:gapWidth val="164"/>
        <c:overlap val="-22"/>
        <c:axId val="447967928"/>
        <c:axId val="447966360"/>
      </c:barChart>
      <c:catAx>
        <c:axId val="447967928"/>
        <c:scaling>
          <c:orientation val="minMax"/>
        </c:scaling>
        <c:delete val="0"/>
        <c:axPos val="b"/>
        <c:numFmt formatCode="General" sourceLinked="1"/>
        <c:majorTickMark val="none"/>
        <c:minorTickMark val="none"/>
        <c:tickLblPos val="nextTo"/>
        <c:spPr>
          <a:ln xmlns:a="http://schemas.openxmlformats.org/drawingml/2006/main" w="19050" cmpd="sng">
            <a:solidFill>
              <a:schemeClr val="tx1">
                <a:lumMod val="25000"/>
                <a:lumOff val="75000"/>
              </a:schemeClr>
            </a:solidFill>
          </a:ln>
        </c:spPr>
        <c:txPr>
          <a:bodyPr xmlns:a="http://schemas.openxmlformats.org/drawingml/2006/main" rot="-60000000" spcFirstLastPara="1" vert="horz" wrap="square" anchor="ctr" anchorCtr="1"/>
          <a:lstStyle xmlns:a="http://schemas.openxmlformats.org/drawingml/2006/main"/>
          <a:p xmlns:a="http://schemas.openxmlformats.org/drawingml/2006/main">
            <a:pPr>
              <a:defRPr sz="800" b="0" i="0" u="none">
                <a:solidFill>
                  <a:schemeClr val="tx1">
                    <a:lumMod val="65000"/>
                    <a:lumOff val="35000"/>
                  </a:schemeClr>
                </a:solidFill>
                <a:latin typeface="+mn-lt"/>
                <a:ea typeface="+mn-lt"/>
                <a:cs typeface="+mn-lt"/>
              </a:defRPr>
            </a:pPr>
          </a:p>
        </c:txPr>
        <c:crossAx val="447966360"/>
        <c:crosses val="autoZero"/>
        <c:lblOffset val="100"/>
      </c:catAx>
      <c:valAx>
        <c:axId val="447966360"/>
        <c:scaling>
          <c:orientation val="minMax"/>
        </c:scaling>
        <c:delete val="0"/>
        <c:axPos val="l"/>
        <c:numFmt formatCode="General" sourceLinked="1"/>
        <c:majorTickMark val="none"/>
        <c:minorTickMark val="none"/>
        <c:tickLblPos val="nextTo"/>
        <c:spPr>
          <a:ln xmlns:a="http://schemas.openxmlformats.org/drawingml/2006/main">
            <a:noFill/>
          </a:ln>
        </c:spPr>
        <c:txPr>
          <a:bodyPr xmlns:a="http://schemas.openxmlformats.org/drawingml/2006/main" rot="-60000000" vert="horz" anchor="ctr" anchorCtr="1"/>
          <a:lstStyle xmlns:a="http://schemas.openxmlformats.org/drawingml/2006/main"/>
          <a:p xmlns:a="http://schemas.openxmlformats.org/drawingml/2006/main">
            <a:pPr>
              <a:defRPr sz="900" b="0" i="0" u="none">
                <a:solidFill>
                  <a:schemeClr val="tx1">
                    <a:lumMod val="65000"/>
                    <a:lumOff val="35000"/>
                  </a:schemeClr>
                </a:solidFill>
                <a:latin typeface="+mn-lt"/>
                <a:ea typeface="+mn-lt"/>
                <a:cs typeface="+mn-lt"/>
              </a:defRPr>
            </a:pPr>
          </a:p>
        </c:txPr>
        <c:crossAx val="447967928"/>
        <c:crosses val="autoZero"/>
        <c:crossBetween val="between"/>
      </c:valAx>
      <c:spPr>
        <a:noFill xmlns:a="http://schemas.openxmlformats.org/drawingml/2006/main"/>
        <a:ln xmlns:a="http://schemas.openxmlformats.org/drawingml/2006/main">
          <a:noFill/>
        </a:ln>
      </c:spPr>
    </c:plotArea>
    <c:legend>
      <c:legendPos val="r"/>
      <c:layout>
        <c:manualLayout>
          <c:xMode val="edge"/>
          <c:yMode val="edge"/>
          <c:x val="0.6607938623056734"/>
          <c:y val="0.1979138257159196"/>
          <c:w val="0.3259188370684434"/>
          <c:h val="0.796321060426106"/>
        </c:manualLayout>
      </c:layout>
      <c:overlay val="0"/>
      <c:spPr>
        <a:noFill xmlns:a="http://schemas.openxmlformats.org/drawingml/2006/main"/>
      </c:spPr>
      <c:txPr>
        <a:bodyPr xmlns:a="http://schemas.openxmlformats.org/drawingml/2006/main" rot="0" vert="horz" anchor="ctr" anchorCtr="1"/>
        <a:lstStyle xmlns:a="http://schemas.openxmlformats.org/drawingml/2006/main"/>
        <a:p xmlns:a="http://schemas.openxmlformats.org/drawingml/2006/main">
          <a:pPr>
            <a:defRPr sz="800" b="0" i="0" u="none">
              <a:solidFill>
                <a:schemeClr val="tx1">
                  <a:lumMod val="65000"/>
                  <a:lumOff val="35000"/>
                </a:schemeClr>
              </a:solidFill>
              <a:latin typeface="+mn-lt"/>
              <a:ea typeface="+mn-lt"/>
              <a:cs typeface="+mn-lt"/>
            </a:defRPr>
          </a:pPr>
        </a:p>
      </c:txPr>
    </c:legend>
    <c:plotVisOnly val="1"/>
  </c:chart>
  <c:spPr>
    <a:solidFill xmlns:a="http://schemas.openxmlformats.org/drawingml/2006/main">
      <a:schemeClr val="bg1"/>
    </a:solidFill>
    <a:ln xmlns:a="http://schemas.openxmlformats.org/drawingml/2006/main" w="9525" cmpd="sng">
      <a:solidFill>
        <a:schemeClr val="tx1">
          <a:lumMod val="15000"/>
          <a:lumOff val="85000"/>
        </a:schemeClr>
      </a:solidFill>
    </a:ln>
  </c:spPr>
</c:chartSpace>
</file>

<file path=xl/drawings/charts/chart3.xml><?xml version="1.0" encoding="utf-8"?>
<c:chartSpace xmlns:mc="http://schemas.openxmlformats.org/markup-compatibility/2006" xmlns:c14="http://schemas.microsoft.com/office/drawing/2007/8/2/chart" xmlns:c="http://schemas.openxmlformats.org/drawingml/2006/chart" mc:Ignorable="c14">
  <c:lang val="en-US"/>
  <c:roundedCorners val="0"/>
  <mc:AlternateContent>
    <mc:Choice Requires="c14">
      <c14:style val="102"/>
    </mc:Choice>
    <mc:Fallback>
      <c:style val="2"/>
    </mc:Fallback>
  </mc:AlternateContent>
  <c:chart>
    <c:title>
      <c:tx>
        <c:rich>
          <a:bodyPr xmlns:a="http://schemas.openxmlformats.org/drawingml/2006/main"/>
          <a:lstStyle xmlns:a="http://schemas.openxmlformats.org/drawingml/2006/main"/>
          <a:p xmlns:a="http://schemas.openxmlformats.org/drawingml/2006/main">
            <a:r>
              <a:rPr sz="1400" b="1" i="0" u="none" cap="all" spc="150">
                <a:solidFill>
                  <a:schemeClr val="tx1"/>
                </a:solidFill>
                <a:latin typeface="+mn-lt"/>
                <a:ea typeface="+mn-lt"/>
                <a:cs typeface="+mn-lt"/>
              </a:rPr>
              <a:t>ESTUDIOS ECAP POR LÍNEAS PRIORITARIAS DE INVESTIGACIÓN</a:t>
            </a:r>
          </a:p>
        </c:rich>
      </c:tx>
      <c:layout>
        <c:manualLayout>
          <c:xMode val="edge"/>
          <c:yMode val="edge"/>
          <c:x val="0.061988088027458116"/>
          <c:y val="0.03810466429126527"/>
        </c:manualLayout>
      </c:layout>
      <c:overlay val="0"/>
      <c:txPr>
        <a:bodyPr xmlns:a="http://schemas.openxmlformats.org/drawingml/2006/main" rot="0" vert="horz" anchor="ctr" anchorCtr="1"/>
        <a:lstStyle xmlns:a="http://schemas.openxmlformats.org/drawingml/2006/main"/>
        <a:p xmlns:a="http://schemas.openxmlformats.org/drawingml/2006/main">
          <a:pPr>
            <a:defRPr sz="1400" b="1" i="0" u="none" cap="all" spc="150">
              <a:solidFill>
                <a:schemeClr val="tx1"/>
              </a:solidFill>
              <a:latin typeface="+mn-lt"/>
              <a:ea typeface="+mn-lt"/>
              <a:cs typeface="+mn-lt"/>
            </a:defRPr>
          </a:pPr>
        </a:p>
      </c:txPr>
    </c:title>
    <c:autoTitleDeleted val="0"/>
    <c:plotArea>
      <c:barChart>
        <c:barDir val="col"/>
        <c:grouping val="clustered"/>
        <c:varyColors val="0"/>
        <c:ser>
          <c:idx val="0"/>
          <c:order val="0"/>
          <c:tx>
            <c:strRef>
              <c:f>Resultados_líneas_investigación!$B$18</c:f>
              <c:strCache>
                <c:ptCount val="1"/>
                <c:pt idx="0">
                  <c:v>Restauración de la cobertura vegetal</c:v>
                </c:pt>
              </c:strCache>
            </c:strRef>
          </c:tx>
          <c:spPr>
            <a:pattFill xmlns:a="http://schemas.openxmlformats.org/drawingml/2006/main" prst="narHorz">
              <a:fgClr>
                <a:schemeClr val="accent1"/>
              </a:fgClr>
              <a:bgClr>
                <a:schemeClr val="accent1">
                  <a:lumMod val="20000"/>
                  <a:lumOff val="80000"/>
                </a:schemeClr>
              </a:bgClr>
            </a:pattFill>
            <a:ln xmlns:a="http://schemas.openxmlformats.org/drawingml/2006/main">
              <a:noFill/>
            </a:ln>
          </c:spPr>
          <c:cat>
            <c:strRef>
              <c:f>Resultados_líneas_investigación!$G$17:$I$17</c:f>
              <c:strCache>
                <c:ptCount val="3"/>
                <c:pt idx="0">
                  <c:v>Otros Estudios Referenciados     (%)</c:v>
                </c:pt>
                <c:pt idx="1">
                  <c:v>Otros Estudios "Google Académico"(%)</c:v>
                </c:pt>
                <c:pt idx="2">
                  <c:v>Total Estudios Complementarios (%)</c:v>
                </c:pt>
              </c:strCache>
            </c:strRef>
          </c:cat>
          <c:val>
            <c:numRef>
              <c:f>Resultados_líneas_investigación!$G$18:$I$18</c:f>
              <c:numCache>
                <c:formatCode>0</c:formatCode>
                <c:ptCount val="3"/>
                <c:pt idx="0">
                  <c:v>2.857142857142857</c:v>
                </c:pt>
                <c:pt idx="1">
                  <c:v>6.0606060606060606</c:v>
                </c:pt>
                <c:pt idx="2">
                  <c:v>4.411764705882353</c:v>
                </c:pt>
              </c:numCache>
            </c:numRef>
          </c:val>
        </c:ser>
        <c:ser>
          <c:idx val="1"/>
          <c:order val="1"/>
          <c:tx>
            <c:strRef>
              <c:f>Resultados_líneas_investigación!$B$19</c:f>
              <c:strCache>
                <c:ptCount val="1"/>
                <c:pt idx="0">
                  <c:v>Hidrología</c:v>
                </c:pt>
              </c:strCache>
            </c:strRef>
          </c:tx>
          <c:spPr>
            <a:pattFill xmlns:a="http://schemas.openxmlformats.org/drawingml/2006/main" prst="narHorz">
              <a:fgClr>
                <a:schemeClr val="accent2"/>
              </a:fgClr>
              <a:bgClr>
                <a:schemeClr val="accent2">
                  <a:lumMod val="20000"/>
                  <a:lumOff val="80000"/>
                </a:schemeClr>
              </a:bgClr>
            </a:pattFill>
            <a:ln xmlns:a="http://schemas.openxmlformats.org/drawingml/2006/main">
              <a:noFill/>
            </a:ln>
          </c:spPr>
          <c:cat>
            <c:strRef>
              <c:f>Resultados_líneas_investigación!$G$17:$I$17</c:f>
              <c:strCache>
                <c:ptCount val="3"/>
                <c:pt idx="0">
                  <c:v>Otros Estudios Referenciados     (%)</c:v>
                </c:pt>
                <c:pt idx="1">
                  <c:v>Otros Estudios "Google Académico"(%)</c:v>
                </c:pt>
                <c:pt idx="2">
                  <c:v>Total Estudios Complementarios (%)</c:v>
                </c:pt>
              </c:strCache>
            </c:strRef>
          </c:cat>
          <c:val>
            <c:numRef>
              <c:f>Resultados_líneas_investigación!$G$19:$I$19</c:f>
              <c:numCache>
                <c:formatCode>0</c:formatCode>
                <c:ptCount val="3"/>
                <c:pt idx="0">
                  <c:v>48.57142857142857</c:v>
                </c:pt>
                <c:pt idx="1">
                  <c:v>39.39393939393939</c:v>
                </c:pt>
                <c:pt idx="2">
                  <c:v>44.11764705882353</c:v>
                </c:pt>
              </c:numCache>
            </c:numRef>
          </c:val>
        </c:ser>
        <c:ser>
          <c:idx val="2"/>
          <c:order val="2"/>
          <c:tx>
            <c:strRef>
              <c:f>Resultados_líneas_investigación!$B$20</c:f>
              <c:strCache>
                <c:ptCount val="1"/>
                <c:pt idx="0">
                  <c:v>Hidrogeología</c:v>
                </c:pt>
              </c:strCache>
            </c:strRef>
          </c:tx>
          <c:spPr>
            <a:pattFill xmlns:a="http://schemas.openxmlformats.org/drawingml/2006/main" prst="narHorz">
              <a:fgClr>
                <a:schemeClr val="accent3"/>
              </a:fgClr>
              <a:bgClr>
                <a:schemeClr val="accent3">
                  <a:lumMod val="20000"/>
                  <a:lumOff val="80000"/>
                </a:schemeClr>
              </a:bgClr>
            </a:pattFill>
            <a:ln xmlns:a="http://schemas.openxmlformats.org/drawingml/2006/main">
              <a:noFill/>
            </a:ln>
          </c:spPr>
          <c:cat>
            <c:strRef>
              <c:f>Resultados_líneas_investigación!$G$17:$I$17</c:f>
              <c:strCache>
                <c:ptCount val="3"/>
                <c:pt idx="0">
                  <c:v>Otros Estudios Referenciados     (%)</c:v>
                </c:pt>
                <c:pt idx="1">
                  <c:v>Otros Estudios "Google Académico"(%)</c:v>
                </c:pt>
                <c:pt idx="2">
                  <c:v>Total Estudios Complementarios (%)</c:v>
                </c:pt>
              </c:strCache>
            </c:strRef>
          </c:cat>
          <c:val>
            <c:numRef>
              <c:f>Resultados_líneas_investigación!$G$20:$I$20</c:f>
              <c:numCache>
                <c:formatCode>0</c:formatCode>
                <c:ptCount val="3"/>
                <c:pt idx="0">
                  <c:v>20</c:v>
                </c:pt>
                <c:pt idx="1">
                  <c:v>6.0606060606060606</c:v>
                </c:pt>
                <c:pt idx="2">
                  <c:v>13.23529411764706</c:v>
                </c:pt>
              </c:numCache>
            </c:numRef>
          </c:val>
        </c:ser>
        <c:ser>
          <c:idx val="3"/>
          <c:order val="3"/>
          <c:tx>
            <c:strRef>
              <c:f>Resultados_líneas_investigación!$B$21</c:f>
              <c:strCache>
                <c:ptCount val="1"/>
                <c:pt idx="0">
                  <c:v>Ecología de páramo</c:v>
                </c:pt>
              </c:strCache>
            </c:strRef>
          </c:tx>
          <c:spPr>
            <a:pattFill xmlns:a="http://schemas.openxmlformats.org/drawingml/2006/main" prst="narHorz">
              <a:fgClr>
                <a:schemeClr val="accent4"/>
              </a:fgClr>
              <a:bgClr>
                <a:schemeClr val="accent4">
                  <a:lumMod val="20000"/>
                  <a:lumOff val="80000"/>
                </a:schemeClr>
              </a:bgClr>
            </a:pattFill>
            <a:ln xmlns:a="http://schemas.openxmlformats.org/drawingml/2006/main">
              <a:noFill/>
            </a:ln>
          </c:spPr>
          <c:cat>
            <c:strRef>
              <c:f>Resultados_líneas_investigación!$G$17:$I$17</c:f>
              <c:strCache>
                <c:ptCount val="3"/>
                <c:pt idx="0">
                  <c:v>Otros Estudios Referenciados     (%)</c:v>
                </c:pt>
                <c:pt idx="1">
                  <c:v>Otros Estudios "Google Académico"(%)</c:v>
                </c:pt>
                <c:pt idx="2">
                  <c:v>Total Estudios Complementarios (%)</c:v>
                </c:pt>
              </c:strCache>
            </c:strRef>
          </c:cat>
          <c:val>
            <c:numRef>
              <c:f>Resultados_líneas_investigación!$G$21:$I$21</c:f>
              <c:numCache>
                <c:formatCode>0</c:formatCode>
                <c:ptCount val="3"/>
                <c:pt idx="0">
                  <c:v>11.428571428571429</c:v>
                </c:pt>
                <c:pt idx="1">
                  <c:v>9.090909090909092</c:v>
                </c:pt>
                <c:pt idx="2">
                  <c:v>10.294117647058822</c:v>
                </c:pt>
              </c:numCache>
            </c:numRef>
          </c:val>
        </c:ser>
        <c:ser>
          <c:idx val="4"/>
          <c:order val="4"/>
          <c:tx>
            <c:strRef>
              <c:f>Resultados_líneas_investigación!$B$22</c:f>
              <c:strCache>
                <c:ptCount val="1"/>
                <c:pt idx="0">
                  <c:v>Cambio climático y global</c:v>
                </c:pt>
              </c:strCache>
            </c:strRef>
          </c:tx>
          <c:spPr>
            <a:pattFill xmlns:a="http://schemas.openxmlformats.org/drawingml/2006/main" prst="narHorz">
              <a:fgClr>
                <a:schemeClr val="accent5"/>
              </a:fgClr>
              <a:bgClr>
                <a:schemeClr val="accent5">
                  <a:lumMod val="20000"/>
                  <a:lumOff val="80000"/>
                </a:schemeClr>
              </a:bgClr>
            </a:pattFill>
            <a:ln xmlns:a="http://schemas.openxmlformats.org/drawingml/2006/main">
              <a:noFill/>
            </a:ln>
          </c:spPr>
          <c:cat>
            <c:strRef>
              <c:f>Resultados_líneas_investigación!$G$17:$I$17</c:f>
              <c:strCache>
                <c:ptCount val="3"/>
                <c:pt idx="0">
                  <c:v>Otros Estudios Referenciados     (%)</c:v>
                </c:pt>
                <c:pt idx="1">
                  <c:v>Otros Estudios "Google Académico"(%)</c:v>
                </c:pt>
                <c:pt idx="2">
                  <c:v>Total Estudios Complementarios (%)</c:v>
                </c:pt>
              </c:strCache>
            </c:strRef>
          </c:cat>
          <c:val>
            <c:numRef>
              <c:f>Resultados_líneas_investigación!$G$22:$I$22</c:f>
              <c:numCache>
                <c:formatCode>0</c:formatCode>
                <c:ptCount val="3"/>
                <c:pt idx="0">
                  <c:v>2.857142857142857</c:v>
                </c:pt>
                <c:pt idx="1">
                  <c:v>12.121212121212121</c:v>
                </c:pt>
                <c:pt idx="2">
                  <c:v>7.352941176470589</c:v>
                </c:pt>
              </c:numCache>
            </c:numRef>
          </c:val>
        </c:ser>
        <c:ser>
          <c:idx val="5"/>
          <c:order val="5"/>
          <c:tx>
            <c:strRef>
              <c:f>Resultados_líneas_investigación!$B$23</c:f>
              <c:strCache>
                <c:ptCount val="1"/>
                <c:pt idx="0">
                  <c:v>Manejo de embalses</c:v>
                </c:pt>
              </c:strCache>
            </c:strRef>
          </c:tx>
          <c:spPr>
            <a:pattFill xmlns:a="http://schemas.openxmlformats.org/drawingml/2006/main" prst="narHorz">
              <a:fgClr>
                <a:schemeClr val="accent6"/>
              </a:fgClr>
              <a:bgClr>
                <a:schemeClr val="accent6">
                  <a:lumMod val="20000"/>
                  <a:lumOff val="80000"/>
                </a:schemeClr>
              </a:bgClr>
            </a:pattFill>
            <a:ln xmlns:a="http://schemas.openxmlformats.org/drawingml/2006/main">
              <a:noFill/>
            </a:ln>
          </c:spPr>
          <c:cat>
            <c:strRef>
              <c:f>Resultados_líneas_investigación!$G$17:$I$17</c:f>
              <c:strCache>
                <c:ptCount val="3"/>
                <c:pt idx="0">
                  <c:v>Otros Estudios Referenciados     (%)</c:v>
                </c:pt>
                <c:pt idx="1">
                  <c:v>Otros Estudios "Google Académico"(%)</c:v>
                </c:pt>
                <c:pt idx="2">
                  <c:v>Total Estudios Complementarios (%)</c:v>
                </c:pt>
              </c:strCache>
            </c:strRef>
          </c:cat>
          <c:val>
            <c:numRef>
              <c:f>Resultados_líneas_investigación!$G$23:$I$23</c:f>
              <c:numCache>
                <c:formatCode>0</c:formatCode>
                <c:ptCount val="3"/>
                <c:pt idx="0">
                  <c:v>5.714285714285714</c:v>
                </c:pt>
                <c:pt idx="1">
                  <c:v>0</c:v>
                </c:pt>
                <c:pt idx="2">
                  <c:v>2.941176470588235</c:v>
                </c:pt>
              </c:numCache>
            </c:numRef>
          </c:val>
        </c:ser>
        <c:ser>
          <c:idx val="6"/>
          <c:order val="6"/>
          <c:tx>
            <c:strRef>
              <c:f>Resultados_líneas_investigación!$B$24</c:f>
              <c:strCache>
                <c:ptCount val="1"/>
                <c:pt idx="0">
                  <c:v>Geología, Sismología y Vulcanología</c:v>
                </c:pt>
              </c:strCache>
            </c:strRef>
          </c:tx>
          <c:spPr>
            <a:pattFill xmlns:a="http://schemas.openxmlformats.org/drawingml/2006/main" prst="narHorz">
              <a:fgClr>
                <a:schemeClr val="accent1">
                  <a:lumMod val="60000"/>
                </a:schemeClr>
              </a:fgClr>
              <a:bgClr>
                <a:schemeClr val="accent1">
                  <a:lumMod val="60000"/>
                  <a:lumOff val="80000"/>
                </a:schemeClr>
              </a:bgClr>
            </a:pattFill>
            <a:ln xmlns:a="http://schemas.openxmlformats.org/drawingml/2006/main">
              <a:noFill/>
            </a:ln>
          </c:spPr>
          <c:cat>
            <c:strRef>
              <c:f>Resultados_líneas_investigación!$G$17:$I$17</c:f>
              <c:strCache>
                <c:ptCount val="3"/>
                <c:pt idx="0">
                  <c:v>Otros Estudios Referenciados     (%)</c:v>
                </c:pt>
                <c:pt idx="1">
                  <c:v>Otros Estudios "Google Académico"(%)</c:v>
                </c:pt>
                <c:pt idx="2">
                  <c:v>Total Estudios Complementarios (%)</c:v>
                </c:pt>
              </c:strCache>
            </c:strRef>
          </c:cat>
          <c:val>
            <c:numRef>
              <c:f>Resultados_líneas_investigación!$G$24:$I$24</c:f>
              <c:numCache>
                <c:formatCode>0</c:formatCode>
                <c:ptCount val="3"/>
                <c:pt idx="0">
                  <c:v>0</c:v>
                </c:pt>
                <c:pt idx="1">
                  <c:v>12.121212121212121</c:v>
                </c:pt>
                <c:pt idx="2">
                  <c:v>5.88235294117647</c:v>
                </c:pt>
              </c:numCache>
            </c:numRef>
          </c:val>
        </c:ser>
        <c:ser>
          <c:idx val="7"/>
          <c:order val="7"/>
          <c:tx>
            <c:strRef>
              <c:f>Resultados_líneas_investigación!$B$25</c:f>
              <c:strCache>
                <c:ptCount val="1"/>
                <c:pt idx="0">
                  <c:v>Análisis Socioeconómicos y Ambientales</c:v>
                </c:pt>
              </c:strCache>
            </c:strRef>
          </c:tx>
          <c:spPr>
            <a:pattFill xmlns:a="http://schemas.openxmlformats.org/drawingml/2006/main" prst="narHorz">
              <a:fgClr>
                <a:schemeClr val="accent2">
                  <a:lumMod val="60000"/>
                </a:schemeClr>
              </a:fgClr>
              <a:bgClr>
                <a:schemeClr val="accent2">
                  <a:lumMod val="60000"/>
                  <a:lumOff val="80000"/>
                </a:schemeClr>
              </a:bgClr>
            </a:pattFill>
            <a:ln xmlns:a="http://schemas.openxmlformats.org/drawingml/2006/main">
              <a:noFill/>
            </a:ln>
          </c:spPr>
          <c:cat>
            <c:strRef>
              <c:f>Resultados_líneas_investigación!$G$17:$I$17</c:f>
              <c:strCache>
                <c:ptCount val="3"/>
                <c:pt idx="0">
                  <c:v>Otros Estudios Referenciados     (%)</c:v>
                </c:pt>
                <c:pt idx="1">
                  <c:v>Otros Estudios "Google Académico"(%)</c:v>
                </c:pt>
                <c:pt idx="2">
                  <c:v>Total Estudios Complementarios (%)</c:v>
                </c:pt>
              </c:strCache>
            </c:strRef>
          </c:cat>
          <c:val>
            <c:numRef>
              <c:f>Resultados_líneas_investigación!$G$25:$I$25</c:f>
              <c:numCache>
                <c:formatCode>0</c:formatCode>
                <c:ptCount val="3"/>
                <c:pt idx="0">
                  <c:v>8.571428571428571</c:v>
                </c:pt>
                <c:pt idx="1">
                  <c:v>9.090909090909092</c:v>
                </c:pt>
                <c:pt idx="2">
                  <c:v>8.823529411764707</c:v>
                </c:pt>
              </c:numCache>
            </c:numRef>
          </c:val>
        </c:ser>
        <c:ser>
          <c:idx val="8"/>
          <c:order val="8"/>
          <c:tx>
            <c:strRef>
              <c:f>Resultados_líneas_investigación!$B$26</c:f>
              <c:strCache>
                <c:ptCount val="1"/>
                <c:pt idx="0">
                  <c:v>Economía Ecológica y Economía Ambiental</c:v>
                </c:pt>
              </c:strCache>
            </c:strRef>
          </c:tx>
          <c:spPr>
            <a:pattFill xmlns:a="http://schemas.openxmlformats.org/drawingml/2006/main" prst="narHorz">
              <a:fgClr>
                <a:schemeClr val="accent3">
                  <a:lumMod val="60000"/>
                </a:schemeClr>
              </a:fgClr>
              <a:bgClr>
                <a:schemeClr val="accent3">
                  <a:lumMod val="60000"/>
                  <a:lumOff val="80000"/>
                </a:schemeClr>
              </a:bgClr>
            </a:pattFill>
            <a:ln xmlns:a="http://schemas.openxmlformats.org/drawingml/2006/main">
              <a:noFill/>
            </a:ln>
          </c:spPr>
          <c:cat>
            <c:strRef>
              <c:f>Resultados_líneas_investigación!$G$17:$I$17</c:f>
              <c:strCache>
                <c:ptCount val="3"/>
                <c:pt idx="0">
                  <c:v>Otros Estudios Referenciados     (%)</c:v>
                </c:pt>
                <c:pt idx="1">
                  <c:v>Otros Estudios "Google Académico"(%)</c:v>
                </c:pt>
                <c:pt idx="2">
                  <c:v>Total Estudios Complementarios (%)</c:v>
                </c:pt>
              </c:strCache>
            </c:strRef>
          </c:cat>
          <c:val>
            <c:numRef>
              <c:f>Resultados_líneas_investigación!$G$26:$I$26</c:f>
              <c:numCache>
                <c:formatCode>0</c:formatCode>
                <c:ptCount val="3"/>
                <c:pt idx="0">
                  <c:v>0</c:v>
                </c:pt>
                <c:pt idx="1">
                  <c:v>6.0606060606060606</c:v>
                </c:pt>
                <c:pt idx="2">
                  <c:v>2.941176470588235</c:v>
                </c:pt>
              </c:numCache>
            </c:numRef>
          </c:val>
        </c:ser>
        <c:ser>
          <c:idx val="9"/>
          <c:order val="9"/>
          <c:tx>
            <c:strRef>
              <c:f>Resultados_líneas_investigación!$B$27</c:f>
              <c:strCache>
                <c:ptCount val="1"/>
                <c:pt idx="0">
                  <c:v>Energía Renovable</c:v>
                </c:pt>
              </c:strCache>
            </c:strRef>
          </c:tx>
          <c:spPr>
            <a:pattFill xmlns:a="http://schemas.openxmlformats.org/drawingml/2006/main" prst="narHorz">
              <a:fgClr>
                <a:schemeClr val="accent4">
                  <a:lumMod val="60000"/>
                </a:schemeClr>
              </a:fgClr>
              <a:bgClr>
                <a:schemeClr val="accent4">
                  <a:lumMod val="60000"/>
                  <a:lumOff val="80000"/>
                </a:schemeClr>
              </a:bgClr>
            </a:pattFill>
            <a:ln xmlns:a="http://schemas.openxmlformats.org/drawingml/2006/main">
              <a:noFill/>
            </a:ln>
          </c:spPr>
          <c:cat>
            <c:strRef>
              <c:f>Resultados_líneas_investigación!$G$17:$I$17</c:f>
              <c:strCache>
                <c:ptCount val="3"/>
                <c:pt idx="0">
                  <c:v>Otros Estudios Referenciados     (%)</c:v>
                </c:pt>
                <c:pt idx="1">
                  <c:v>Otros Estudios "Google Académico"(%)</c:v>
                </c:pt>
                <c:pt idx="2">
                  <c:v>Total Estudios Complementarios (%)</c:v>
                </c:pt>
              </c:strCache>
            </c:strRef>
          </c:cat>
          <c:val>
            <c:numRef>
              <c:f>Resultados_líneas_investigación!$G$27:$I$27</c:f>
              <c:numCache>
                <c:formatCode>0</c:formatCode>
                <c:ptCount val="3"/>
                <c:pt idx="0">
                  <c:v>0</c:v>
                </c:pt>
                <c:pt idx="1">
                  <c:v>0</c:v>
                </c:pt>
                <c:pt idx="2">
                  <c:v>0</c:v>
                </c:pt>
              </c:numCache>
            </c:numRef>
          </c:val>
        </c:ser>
        <c:dLbls>
          <c:showLegendKey val="0"/>
          <c:showVal val="0"/>
          <c:showCatName val="0"/>
          <c:showSerName val="0"/>
          <c:showPercent val="0"/>
          <c:showBubbleSize val="0"/>
        </c:dLbls>
        <c:gapWidth val="164"/>
        <c:overlap val="-22"/>
        <c:axId val="447964792"/>
        <c:axId val="447965576"/>
      </c:barChart>
      <c:catAx>
        <c:axId val="447964792"/>
        <c:scaling>
          <c:orientation val="minMax"/>
        </c:scaling>
        <c:delete val="0"/>
        <c:axPos val="b"/>
        <c:numFmt formatCode="General" sourceLinked="1"/>
        <c:majorTickMark val="none"/>
        <c:minorTickMark val="none"/>
        <c:tickLblPos val="nextTo"/>
        <c:spPr>
          <a:ln xmlns:a="http://schemas.openxmlformats.org/drawingml/2006/main" w="19050" cmpd="sng">
            <a:solidFill>
              <a:schemeClr val="tx1">
                <a:lumMod val="25000"/>
                <a:lumOff val="75000"/>
              </a:schemeClr>
            </a:solidFill>
          </a:ln>
        </c:spPr>
        <c:txPr>
          <a:bodyPr xmlns:a="http://schemas.openxmlformats.org/drawingml/2006/main" rot="-60000000" spcFirstLastPara="1" vert="horz" wrap="square" anchor="ctr" anchorCtr="1"/>
          <a:lstStyle xmlns:a="http://schemas.openxmlformats.org/drawingml/2006/main"/>
          <a:p xmlns:a="http://schemas.openxmlformats.org/drawingml/2006/main">
            <a:pPr>
              <a:defRPr sz="800" b="0" i="0" u="none">
                <a:solidFill>
                  <a:schemeClr val="tx1">
                    <a:lumMod val="65000"/>
                    <a:lumOff val="35000"/>
                  </a:schemeClr>
                </a:solidFill>
                <a:latin typeface="+mn-lt"/>
                <a:ea typeface="+mn-lt"/>
                <a:cs typeface="+mn-lt"/>
              </a:defRPr>
            </a:pPr>
          </a:p>
        </c:txPr>
        <c:crossAx val="447965576"/>
        <c:crosses val="autoZero"/>
        <c:lblOffset val="100"/>
      </c:catAx>
      <c:valAx>
        <c:axId val="447965576"/>
        <c:scaling>
          <c:orientation val="minMax"/>
        </c:scaling>
        <c:delete val="0"/>
        <c:axPos val="l"/>
        <c:numFmt formatCode="0" sourceLinked="1"/>
        <c:majorTickMark val="none"/>
        <c:minorTickMark val="none"/>
        <c:tickLblPos val="nextTo"/>
        <c:spPr>
          <a:ln xmlns:a="http://schemas.openxmlformats.org/drawingml/2006/main">
            <a:noFill/>
          </a:ln>
        </c:spPr>
        <c:txPr>
          <a:bodyPr xmlns:a="http://schemas.openxmlformats.org/drawingml/2006/main" rot="-60000000" vert="horz" anchor="ctr" anchorCtr="1"/>
          <a:lstStyle xmlns:a="http://schemas.openxmlformats.org/drawingml/2006/main"/>
          <a:p xmlns:a="http://schemas.openxmlformats.org/drawingml/2006/main">
            <a:pPr>
              <a:defRPr sz="900" b="0" i="0" u="none">
                <a:solidFill>
                  <a:schemeClr val="tx1">
                    <a:lumMod val="65000"/>
                    <a:lumOff val="35000"/>
                  </a:schemeClr>
                </a:solidFill>
                <a:latin typeface="+mn-lt"/>
                <a:ea typeface="+mn-lt"/>
                <a:cs typeface="+mn-lt"/>
              </a:defRPr>
            </a:pPr>
          </a:p>
        </c:txPr>
        <c:crossAx val="447964792"/>
        <c:crosses val="autoZero"/>
        <c:crossBetween val="between"/>
      </c:valAx>
      <c:spPr>
        <a:noFill xmlns:a="http://schemas.openxmlformats.org/drawingml/2006/main"/>
        <a:ln xmlns:a="http://schemas.openxmlformats.org/drawingml/2006/main">
          <a:noFill/>
        </a:ln>
      </c:spPr>
    </c:plotArea>
    <c:legend>
      <c:legendPos val="r"/>
      <c:layout>
        <c:manualLayout>
          <c:xMode val="edge"/>
          <c:yMode val="edge"/>
          <c:x val="0.6607938623056734"/>
          <c:y val="0.1979138257159196"/>
          <c:w val="0.3259188370684434"/>
          <c:h val="0.796321060426106"/>
        </c:manualLayout>
      </c:layout>
      <c:overlay val="0"/>
      <c:spPr>
        <a:noFill xmlns:a="http://schemas.openxmlformats.org/drawingml/2006/main"/>
      </c:spPr>
      <c:txPr>
        <a:bodyPr xmlns:a="http://schemas.openxmlformats.org/drawingml/2006/main" rot="0" vert="horz" anchor="ctr" anchorCtr="1"/>
        <a:lstStyle xmlns:a="http://schemas.openxmlformats.org/drawingml/2006/main"/>
        <a:p xmlns:a="http://schemas.openxmlformats.org/drawingml/2006/main">
          <a:pPr>
            <a:defRPr sz="800" b="0" i="0" u="none">
              <a:solidFill>
                <a:schemeClr val="tx1">
                  <a:lumMod val="65000"/>
                  <a:lumOff val="35000"/>
                </a:schemeClr>
              </a:solidFill>
              <a:latin typeface="+mn-lt"/>
              <a:ea typeface="+mn-lt"/>
              <a:cs typeface="+mn-lt"/>
            </a:defRPr>
          </a:pPr>
        </a:p>
      </c:txPr>
    </c:legend>
    <c:plotVisOnly val="1"/>
  </c:chart>
  <c:spPr>
    <a:solidFill xmlns:a="http://schemas.openxmlformats.org/drawingml/2006/main">
      <a:schemeClr val="bg1"/>
    </a:solidFill>
    <a:ln xmlns:a="http://schemas.openxmlformats.org/drawingml/2006/main" w="9525" cmpd="sng">
      <a:solidFill>
        <a:schemeClr val="tx1">
          <a:lumMod val="15000"/>
          <a:lumOff val="85000"/>
        </a:schemeClr>
      </a:solidFill>
    </a:ln>
  </c:spPr>
</c:chartSpace>
</file>

<file path=xl/drawings/charts/chart4.xml><?xml version="1.0" encoding="utf-8"?>
<c:chartSpace xmlns:mc="http://schemas.openxmlformats.org/markup-compatibility/2006" xmlns:c14="http://schemas.microsoft.com/office/drawing/2007/8/2/chart" xmlns:c="http://schemas.openxmlformats.org/drawingml/2006/chart" mc:Ignorable="c14">
  <c:lang val="en-US"/>
  <c:roundedCorners val="0"/>
  <mc:AlternateContent>
    <mc:Choice Requires="c14">
      <c14:style val="102"/>
    </mc:Choice>
    <mc:Fallback>
      <c:style val="2"/>
    </mc:Fallback>
  </mc:AlternateContent>
  <c:chart>
    <c:title>
      <c:tx>
        <c:rich>
          <a:bodyPr xmlns:a="http://schemas.openxmlformats.org/drawingml/2006/main"/>
          <a:lstStyle xmlns:a="http://schemas.openxmlformats.org/drawingml/2006/main"/>
          <a:p xmlns:a="http://schemas.openxmlformats.org/drawingml/2006/main">
            <a:r>
              <a:rPr sz="1400" b="1" i="0" u="none" cap="all" spc="150">
                <a:solidFill>
                  <a:schemeClr val="tx1"/>
                </a:solidFill>
                <a:latin typeface="+mn-lt"/>
                <a:ea typeface="+mn-lt"/>
                <a:cs typeface="+mn-lt"/>
              </a:rPr>
              <a:t>ESTUDIOS ECAP POR ÁREAS DE CONSERVACIÓN HÍDRICA</a:t>
            </a:r>
          </a:p>
        </c:rich>
      </c:tx>
      <c:overlay val="0"/>
      <c:txPr>
        <a:bodyPr xmlns:a="http://schemas.openxmlformats.org/drawingml/2006/main" rot="0" vert="horz" anchor="ctr" anchorCtr="1"/>
        <a:lstStyle xmlns:a="http://schemas.openxmlformats.org/drawingml/2006/main"/>
        <a:p xmlns:a="http://schemas.openxmlformats.org/drawingml/2006/main">
          <a:pPr>
            <a:defRPr sz="1400" b="1" i="0" u="none" cap="all" spc="150">
              <a:solidFill>
                <a:schemeClr val="tx1"/>
              </a:solidFill>
              <a:latin typeface="+mn-lt"/>
              <a:ea typeface="+mn-lt"/>
              <a:cs typeface="+mn-lt"/>
            </a:defRPr>
          </a:pPr>
        </a:p>
      </c:txPr>
    </c:title>
    <c:autoTitleDeleted val="0"/>
    <c:plotArea>
      <c:barChart>
        <c:barDir val="col"/>
        <c:grouping val="clustered"/>
        <c:varyColors val="0"/>
        <c:ser>
          <c:idx val="0"/>
          <c:order val="0"/>
          <c:tx>
            <c:strRef>
              <c:f>Resultados_Sistemas_ACH!$B$4</c:f>
              <c:strCache>
                <c:ptCount val="1"/>
                <c:pt idx="0">
                  <c:v>Paluguillo</c:v>
                </c:pt>
              </c:strCache>
            </c:strRef>
          </c:tx>
          <c:spPr>
            <a:pattFill xmlns:a="http://schemas.openxmlformats.org/drawingml/2006/main" prst="narHorz">
              <a:fgClr>
                <a:schemeClr val="accent1"/>
              </a:fgClr>
              <a:bgClr>
                <a:schemeClr val="accent1">
                  <a:lumMod val="20000"/>
                  <a:lumOff val="80000"/>
                </a:schemeClr>
              </a:bgClr>
            </a:pattFill>
            <a:ln xmlns:a="http://schemas.openxmlformats.org/drawingml/2006/main">
              <a:noFill/>
            </a:ln>
          </c:spPr>
          <c:cat>
            <c:strRef>
              <c:f>Resultados_Sistemas_ACH!$C$3:$F$3</c:f>
              <c:strCache>
                <c:ptCount val="4"/>
                <c:pt idx="0">
                  <c:v>Becarios</c:v>
                </c:pt>
                <c:pt idx="1">
                  <c:v>Apoyo a Investigaciones</c:v>
                </c:pt>
                <c:pt idx="2">
                  <c:v>Proyectos de Investigación</c:v>
                </c:pt>
                <c:pt idx="3">
                  <c:v>TOTAL ECAP</c:v>
                </c:pt>
              </c:strCache>
            </c:strRef>
          </c:cat>
          <c:val>
            <c:numRef>
              <c:f>Resultados_Sistemas_ACH!$C$4:$F$4</c:f>
              <c:numCache>
                <c:formatCode>General</c:formatCode>
                <c:ptCount val="4"/>
                <c:pt idx="0">
                  <c:v>3</c:v>
                </c:pt>
                <c:pt idx="1">
                  <c:v>3</c:v>
                </c:pt>
                <c:pt idx="2">
                  <c:v>0</c:v>
                </c:pt>
                <c:pt idx="3">
                  <c:v>6</c:v>
                </c:pt>
              </c:numCache>
            </c:numRef>
          </c:val>
        </c:ser>
        <c:ser>
          <c:idx val="1"/>
          <c:order val="1"/>
          <c:tx>
            <c:strRef>
              <c:f>Resultados_Sistemas_ACH!$B$5</c:f>
              <c:strCache>
                <c:ptCount val="1"/>
                <c:pt idx="0">
                  <c:v>Antisana</c:v>
                </c:pt>
              </c:strCache>
            </c:strRef>
          </c:tx>
          <c:spPr>
            <a:pattFill xmlns:a="http://schemas.openxmlformats.org/drawingml/2006/main" prst="narHorz">
              <a:fgClr>
                <a:schemeClr val="accent2"/>
              </a:fgClr>
              <a:bgClr>
                <a:schemeClr val="accent2">
                  <a:lumMod val="20000"/>
                  <a:lumOff val="80000"/>
                </a:schemeClr>
              </a:bgClr>
            </a:pattFill>
            <a:ln xmlns:a="http://schemas.openxmlformats.org/drawingml/2006/main">
              <a:noFill/>
            </a:ln>
          </c:spPr>
          <c:cat>
            <c:strRef>
              <c:f>Resultados_Sistemas_ACH!$C$3:$F$3</c:f>
              <c:strCache>
                <c:ptCount val="4"/>
                <c:pt idx="0">
                  <c:v>Becarios</c:v>
                </c:pt>
                <c:pt idx="1">
                  <c:v>Apoyo a Investigaciones</c:v>
                </c:pt>
                <c:pt idx="2">
                  <c:v>Proyectos de Investigación</c:v>
                </c:pt>
                <c:pt idx="3">
                  <c:v>TOTAL ECAP</c:v>
                </c:pt>
              </c:strCache>
            </c:strRef>
          </c:cat>
          <c:val>
            <c:numRef>
              <c:f>Resultados_Sistemas_ACH!$C$5:$F$5</c:f>
              <c:numCache>
                <c:formatCode>General</c:formatCode>
                <c:ptCount val="4"/>
                <c:pt idx="0">
                  <c:v>14</c:v>
                </c:pt>
                <c:pt idx="1">
                  <c:v>11</c:v>
                </c:pt>
                <c:pt idx="2">
                  <c:v>9</c:v>
                </c:pt>
                <c:pt idx="3">
                  <c:v>34</c:v>
                </c:pt>
              </c:numCache>
            </c:numRef>
          </c:val>
        </c:ser>
        <c:ser>
          <c:idx val="2"/>
          <c:order val="2"/>
          <c:tx>
            <c:strRef>
              <c:f>Resultados_Sistemas_ACH!$B$6</c:f>
              <c:strCache>
                <c:ptCount val="1"/>
                <c:pt idx="0">
                  <c:v>Alto Pita</c:v>
                </c:pt>
              </c:strCache>
            </c:strRef>
          </c:tx>
          <c:spPr>
            <a:pattFill xmlns:a="http://schemas.openxmlformats.org/drawingml/2006/main" prst="narHorz">
              <a:fgClr>
                <a:schemeClr val="accent3"/>
              </a:fgClr>
              <a:bgClr>
                <a:schemeClr val="accent3">
                  <a:lumMod val="20000"/>
                  <a:lumOff val="80000"/>
                </a:schemeClr>
              </a:bgClr>
            </a:pattFill>
            <a:ln xmlns:a="http://schemas.openxmlformats.org/drawingml/2006/main">
              <a:noFill/>
            </a:ln>
          </c:spPr>
          <c:cat>
            <c:strRef>
              <c:f>Resultados_Sistemas_ACH!$C$3:$F$3</c:f>
              <c:strCache>
                <c:ptCount val="4"/>
                <c:pt idx="0">
                  <c:v>Becarios</c:v>
                </c:pt>
                <c:pt idx="1">
                  <c:v>Apoyo a Investigaciones</c:v>
                </c:pt>
                <c:pt idx="2">
                  <c:v>Proyectos de Investigación</c:v>
                </c:pt>
                <c:pt idx="3">
                  <c:v>TOTAL ECAP</c:v>
                </c:pt>
              </c:strCache>
            </c:strRef>
          </c:cat>
          <c:val>
            <c:numRef>
              <c:f>Resultados_Sistemas_ACH!$C$6:$F$6</c:f>
              <c:numCache>
                <c:formatCode>General</c:formatCode>
                <c:ptCount val="4"/>
                <c:pt idx="0">
                  <c:v>5</c:v>
                </c:pt>
                <c:pt idx="1">
                  <c:v>2</c:v>
                </c:pt>
                <c:pt idx="2">
                  <c:v>0</c:v>
                </c:pt>
                <c:pt idx="3">
                  <c:v>7</c:v>
                </c:pt>
              </c:numCache>
            </c:numRef>
          </c:val>
        </c:ser>
        <c:ser>
          <c:idx val="3"/>
          <c:order val="3"/>
          <c:tx>
            <c:strRef>
              <c:f>Resultados_Sistemas_ACH!$B$7</c:f>
              <c:strCache>
                <c:ptCount val="1"/>
                <c:pt idx="0">
                  <c:v>Chalpi</c:v>
                </c:pt>
              </c:strCache>
            </c:strRef>
          </c:tx>
          <c:spPr>
            <a:pattFill xmlns:a="http://schemas.openxmlformats.org/drawingml/2006/main" prst="narHorz">
              <a:fgClr>
                <a:schemeClr val="accent4"/>
              </a:fgClr>
              <a:bgClr>
                <a:schemeClr val="accent4">
                  <a:lumMod val="20000"/>
                  <a:lumOff val="80000"/>
                </a:schemeClr>
              </a:bgClr>
            </a:pattFill>
            <a:ln xmlns:a="http://schemas.openxmlformats.org/drawingml/2006/main">
              <a:noFill/>
            </a:ln>
          </c:spPr>
          <c:cat>
            <c:strRef>
              <c:f>Resultados_Sistemas_ACH!$C$3:$F$3</c:f>
              <c:strCache>
                <c:ptCount val="4"/>
                <c:pt idx="0">
                  <c:v>Becarios</c:v>
                </c:pt>
                <c:pt idx="1">
                  <c:v>Apoyo a Investigaciones</c:v>
                </c:pt>
                <c:pt idx="2">
                  <c:v>Proyectos de Investigación</c:v>
                </c:pt>
                <c:pt idx="3">
                  <c:v>TOTAL ECAP</c:v>
                </c:pt>
              </c:strCache>
            </c:strRef>
          </c:cat>
          <c:val>
            <c:numRef>
              <c:f>Resultados_Sistemas_ACH!$C$7:$F$7</c:f>
              <c:numCache>
                <c:formatCode>General</c:formatCode>
                <c:ptCount val="4"/>
                <c:pt idx="0">
                  <c:v>1</c:v>
                </c:pt>
                <c:pt idx="1">
                  <c:v>0</c:v>
                </c:pt>
                <c:pt idx="2">
                  <c:v>0</c:v>
                </c:pt>
                <c:pt idx="3">
                  <c:v>1</c:v>
                </c:pt>
              </c:numCache>
            </c:numRef>
          </c:val>
        </c:ser>
        <c:ser>
          <c:idx val="4"/>
          <c:order val="4"/>
          <c:tx>
            <c:strRef>
              <c:f>Resultados_Sistemas_ACH!$B$8</c:f>
              <c:strCache>
                <c:ptCount val="1"/>
                <c:pt idx="0">
                  <c:v>Atacazo</c:v>
                </c:pt>
              </c:strCache>
            </c:strRef>
          </c:tx>
          <c:spPr>
            <a:pattFill xmlns:a="http://schemas.openxmlformats.org/drawingml/2006/main" prst="narHorz">
              <a:fgClr>
                <a:schemeClr val="accent5"/>
              </a:fgClr>
              <a:bgClr>
                <a:schemeClr val="accent5">
                  <a:lumMod val="20000"/>
                  <a:lumOff val="80000"/>
                </a:schemeClr>
              </a:bgClr>
            </a:pattFill>
            <a:ln xmlns:a="http://schemas.openxmlformats.org/drawingml/2006/main">
              <a:noFill/>
            </a:ln>
          </c:spPr>
          <c:cat>
            <c:strRef>
              <c:f>Resultados_Sistemas_ACH!$C$3:$F$3</c:f>
              <c:strCache>
                <c:ptCount val="4"/>
                <c:pt idx="0">
                  <c:v>Becarios</c:v>
                </c:pt>
                <c:pt idx="1">
                  <c:v>Apoyo a Investigaciones</c:v>
                </c:pt>
                <c:pt idx="2">
                  <c:v>Proyectos de Investigación</c:v>
                </c:pt>
                <c:pt idx="3">
                  <c:v>TOTAL ECAP</c:v>
                </c:pt>
              </c:strCache>
            </c:strRef>
          </c:cat>
          <c:val>
            <c:numRef>
              <c:f>Resultados_Sistemas_ACH!$C$8:$F$8</c:f>
              <c:numCache>
                <c:formatCode>General</c:formatCode>
                <c:ptCount val="4"/>
                <c:pt idx="0">
                  <c:v>1</c:v>
                </c:pt>
                <c:pt idx="1">
                  <c:v>0</c:v>
                </c:pt>
                <c:pt idx="2">
                  <c:v>1</c:v>
                </c:pt>
                <c:pt idx="3">
                  <c:v>2</c:v>
                </c:pt>
              </c:numCache>
            </c:numRef>
          </c:val>
        </c:ser>
        <c:ser>
          <c:idx val="5"/>
          <c:order val="5"/>
          <c:tx>
            <c:strRef>
              <c:f>Resultados_Sistemas_ACH!$B$9</c:f>
              <c:strCache>
                <c:ptCount val="1"/>
                <c:pt idx="0">
                  <c:v>Rumipamba</c:v>
                </c:pt>
              </c:strCache>
            </c:strRef>
          </c:tx>
          <c:spPr>
            <a:pattFill xmlns:a="http://schemas.openxmlformats.org/drawingml/2006/main" prst="narHorz">
              <a:fgClr>
                <a:schemeClr val="accent6"/>
              </a:fgClr>
              <a:bgClr>
                <a:schemeClr val="accent6">
                  <a:lumMod val="20000"/>
                  <a:lumOff val="80000"/>
                </a:schemeClr>
              </a:bgClr>
            </a:pattFill>
            <a:ln xmlns:a="http://schemas.openxmlformats.org/drawingml/2006/main">
              <a:noFill/>
            </a:ln>
          </c:spPr>
          <c:cat>
            <c:strRef>
              <c:f>Resultados_Sistemas_ACH!$C$3:$F$3</c:f>
              <c:strCache>
                <c:ptCount val="4"/>
                <c:pt idx="0">
                  <c:v>Becarios</c:v>
                </c:pt>
                <c:pt idx="1">
                  <c:v>Apoyo a Investigaciones</c:v>
                </c:pt>
                <c:pt idx="2">
                  <c:v>Proyectos de Investigación</c:v>
                </c:pt>
                <c:pt idx="3">
                  <c:v>TOTAL ECAP</c:v>
                </c:pt>
              </c:strCache>
            </c:strRef>
          </c:cat>
          <c:val>
            <c:numRef>
              <c:f>Resultados_Sistemas_ACH!$C$9:$F$9</c:f>
              <c:numCache>
                <c:formatCode>General</c:formatCode>
                <c:ptCount val="4"/>
                <c:pt idx="0">
                  <c:v>1</c:v>
                </c:pt>
                <c:pt idx="1">
                  <c:v>0</c:v>
                </c:pt>
                <c:pt idx="2">
                  <c:v>0</c:v>
                </c:pt>
                <c:pt idx="3">
                  <c:v>1</c:v>
                </c:pt>
              </c:numCache>
            </c:numRef>
          </c:val>
        </c:ser>
        <c:dLbls>
          <c:showLegendKey val="0"/>
          <c:showVal val="0"/>
          <c:showCatName val="0"/>
          <c:showSerName val="0"/>
          <c:showPercent val="0"/>
          <c:showBubbleSize val="0"/>
        </c:dLbls>
        <c:gapWidth val="164"/>
        <c:overlap val="-22"/>
        <c:axId val="447967144"/>
        <c:axId val="447967536"/>
      </c:barChart>
      <c:catAx>
        <c:axId val="447967144"/>
        <c:scaling>
          <c:orientation val="minMax"/>
        </c:scaling>
        <c:delete val="0"/>
        <c:axPos val="b"/>
        <c:numFmt formatCode="General" sourceLinked="1"/>
        <c:majorTickMark val="none"/>
        <c:minorTickMark val="none"/>
        <c:tickLblPos val="nextTo"/>
        <c:spPr>
          <a:ln xmlns:a="http://schemas.openxmlformats.org/drawingml/2006/main" w="19050" cmpd="sng">
            <a:solidFill>
              <a:schemeClr val="tx1">
                <a:lumMod val="25000"/>
                <a:lumOff val="75000"/>
              </a:schemeClr>
            </a:solidFill>
          </a:ln>
        </c:spPr>
        <c:txPr>
          <a:bodyPr xmlns:a="http://schemas.openxmlformats.org/drawingml/2006/main" rot="-60000000" spcFirstLastPara="1" vert="horz" wrap="square" anchor="ctr" anchorCtr="1"/>
          <a:lstStyle xmlns:a="http://schemas.openxmlformats.org/drawingml/2006/main"/>
          <a:p xmlns:a="http://schemas.openxmlformats.org/drawingml/2006/main">
            <a:pPr>
              <a:defRPr sz="900" b="0" i="0" u="none">
                <a:solidFill>
                  <a:schemeClr val="tx1">
                    <a:lumMod val="65000"/>
                    <a:lumOff val="35000"/>
                  </a:schemeClr>
                </a:solidFill>
                <a:latin typeface="+mn-lt"/>
                <a:ea typeface="+mn-lt"/>
                <a:cs typeface="+mn-lt"/>
              </a:defRPr>
            </a:pPr>
          </a:p>
        </c:txPr>
        <c:crossAx val="447967536"/>
        <c:crosses val="autoZero"/>
        <c:lblOffset val="100"/>
      </c:catAx>
      <c:valAx>
        <c:axId val="447967536"/>
        <c:scaling>
          <c:orientation val="minMax"/>
        </c:scaling>
        <c:delete val="0"/>
        <c:axPos val="l"/>
        <c:numFmt formatCode="General" sourceLinked="1"/>
        <c:majorTickMark val="none"/>
        <c:minorTickMark val="none"/>
        <c:tickLblPos val="nextTo"/>
        <c:spPr>
          <a:ln xmlns:a="http://schemas.openxmlformats.org/drawingml/2006/main">
            <a:noFill/>
          </a:ln>
        </c:spPr>
        <c:txPr>
          <a:bodyPr xmlns:a="http://schemas.openxmlformats.org/drawingml/2006/main" rot="-60000000" vert="horz" anchor="ctr" anchorCtr="1"/>
          <a:lstStyle xmlns:a="http://schemas.openxmlformats.org/drawingml/2006/main"/>
          <a:p xmlns:a="http://schemas.openxmlformats.org/drawingml/2006/main">
            <a:pPr>
              <a:defRPr sz="900" b="0" i="0" u="none">
                <a:solidFill>
                  <a:schemeClr val="tx1">
                    <a:lumMod val="65000"/>
                    <a:lumOff val="35000"/>
                  </a:schemeClr>
                </a:solidFill>
                <a:latin typeface="+mn-lt"/>
                <a:ea typeface="+mn-lt"/>
                <a:cs typeface="+mn-lt"/>
              </a:defRPr>
            </a:pPr>
          </a:p>
        </c:txPr>
        <c:crossAx val="447967144"/>
        <c:crosses val="autoZero"/>
        <c:crossBetween val="between"/>
      </c:valAx>
      <c:spPr>
        <a:noFill xmlns:a="http://schemas.openxmlformats.org/drawingml/2006/main"/>
        <a:ln xmlns:a="http://schemas.openxmlformats.org/drawingml/2006/main">
          <a:noFill/>
        </a:ln>
      </c:spPr>
    </c:plotArea>
    <c:legend>
      <c:legendPos val="b"/>
      <c:overlay val="0"/>
      <c:spPr>
        <a:noFill xmlns:a="http://schemas.openxmlformats.org/drawingml/2006/main"/>
      </c:spPr>
      <c:txPr>
        <a:bodyPr xmlns:a="http://schemas.openxmlformats.org/drawingml/2006/main" rot="0" vert="horz" anchor="ctr" anchorCtr="1"/>
        <a:lstStyle xmlns:a="http://schemas.openxmlformats.org/drawingml/2006/main"/>
        <a:p xmlns:a="http://schemas.openxmlformats.org/drawingml/2006/main">
          <a:pPr>
            <a:defRPr sz="900" b="0" i="0" u="none">
              <a:solidFill>
                <a:schemeClr val="tx1">
                  <a:lumMod val="65000"/>
                  <a:lumOff val="35000"/>
                </a:schemeClr>
              </a:solidFill>
              <a:latin typeface="+mn-lt"/>
              <a:ea typeface="+mn-lt"/>
              <a:cs typeface="+mn-lt"/>
            </a:defRPr>
          </a:pPr>
        </a:p>
      </c:txPr>
    </c:legend>
    <c:plotVisOnly val="1"/>
  </c:chart>
  <c:spPr>
    <a:solidFill xmlns:a="http://schemas.openxmlformats.org/drawingml/2006/main">
      <a:schemeClr val="bg1"/>
    </a:solidFill>
    <a:ln xmlns:a="http://schemas.openxmlformats.org/drawingml/2006/main" w="9525" cmpd="sng">
      <a:solidFill>
        <a:schemeClr val="tx1">
          <a:lumMod val="15000"/>
          <a:lumOff val="85000"/>
        </a:schemeClr>
      </a:solidFill>
    </a:ln>
  </c:spPr>
</c:chartSpace>
</file>

<file path=xl/drawings/charts/chart5.xml><?xml version="1.0" encoding="utf-8"?>
<c:chartSpace xmlns:mc="http://schemas.openxmlformats.org/markup-compatibility/2006" xmlns:c14="http://schemas.microsoft.com/office/drawing/2007/8/2/chart" xmlns:c="http://schemas.openxmlformats.org/drawingml/2006/chart" mc:Ignorable="c14">
  <c:lang val="en-US"/>
  <c:roundedCorners val="0"/>
  <mc:AlternateContent>
    <mc:Choice Requires="c14">
      <c14:style val="102"/>
    </mc:Choice>
    <mc:Fallback>
      <c:style val="2"/>
    </mc:Fallback>
  </mc:AlternateContent>
  <c:chart>
    <c:title>
      <c:tx>
        <c:rich>
          <a:bodyPr xmlns:a="http://schemas.openxmlformats.org/drawingml/2006/main"/>
          <a:lstStyle xmlns:a="http://schemas.openxmlformats.org/drawingml/2006/main"/>
          <a:p xmlns:a="http://schemas.openxmlformats.org/drawingml/2006/main">
            <a:r>
              <a:rPr sz="1400" b="1" i="0" u="none" cap="all" spc="150">
                <a:solidFill>
                  <a:schemeClr val="tx1"/>
                </a:solidFill>
                <a:latin typeface="+mn-lt"/>
                <a:ea typeface="+mn-lt"/>
                <a:cs typeface="+mn-lt"/>
              </a:rPr>
              <a:t>ESTUDIOS ECAP POR SISTEMAS</a:t>
            </a:r>
          </a:p>
        </c:rich>
      </c:tx>
      <c:overlay val="0"/>
      <c:txPr>
        <a:bodyPr xmlns:a="http://schemas.openxmlformats.org/drawingml/2006/main" rot="0" vert="horz" anchor="ctr" anchorCtr="1"/>
        <a:lstStyle xmlns:a="http://schemas.openxmlformats.org/drawingml/2006/main"/>
        <a:p xmlns:a="http://schemas.openxmlformats.org/drawingml/2006/main">
          <a:pPr>
            <a:defRPr sz="1400" b="1" i="0" u="none" cap="all" spc="150">
              <a:solidFill>
                <a:schemeClr val="tx1"/>
              </a:solidFill>
              <a:latin typeface="+mn-lt"/>
              <a:ea typeface="+mn-lt"/>
              <a:cs typeface="+mn-lt"/>
            </a:defRPr>
          </a:pPr>
        </a:p>
      </c:txPr>
    </c:title>
    <c:autoTitleDeleted val="0"/>
    <c:plotArea>
      <c:barChart>
        <c:barDir val="col"/>
        <c:grouping val="clustered"/>
        <c:varyColors val="0"/>
        <c:ser>
          <c:idx val="0"/>
          <c:order val="0"/>
          <c:tx>
            <c:strRef>
              <c:f>Resultados_Sistemas_ACH!$B$14</c:f>
              <c:strCache>
                <c:ptCount val="1"/>
                <c:pt idx="0">
                  <c:v>Papallacta Integrado</c:v>
                </c:pt>
              </c:strCache>
            </c:strRef>
          </c:tx>
          <c:spPr>
            <a:pattFill xmlns:a="http://schemas.openxmlformats.org/drawingml/2006/main" prst="narHorz">
              <a:fgClr>
                <a:schemeClr val="accent1"/>
              </a:fgClr>
              <a:bgClr>
                <a:schemeClr val="accent1">
                  <a:lumMod val="20000"/>
                  <a:lumOff val="80000"/>
                </a:schemeClr>
              </a:bgClr>
            </a:pattFill>
            <a:ln xmlns:a="http://schemas.openxmlformats.org/drawingml/2006/main">
              <a:noFill/>
            </a:ln>
          </c:spPr>
          <c:cat>
            <c:strRef>
              <c:f>Resultados_Sistemas_ACH!$C$13:$F$13</c:f>
              <c:strCache>
                <c:ptCount val="4"/>
                <c:pt idx="0">
                  <c:v>Becarios</c:v>
                </c:pt>
                <c:pt idx="1">
                  <c:v>Apoyo a Investigaciones</c:v>
                </c:pt>
                <c:pt idx="2">
                  <c:v>Proyectos de Investigación</c:v>
                </c:pt>
                <c:pt idx="3">
                  <c:v>TOTAL ECAP</c:v>
                </c:pt>
              </c:strCache>
            </c:strRef>
          </c:cat>
          <c:val>
            <c:numRef>
              <c:f>Resultados_Sistemas_ACH!$C$14:$F$14</c:f>
              <c:numCache>
                <c:formatCode>General</c:formatCode>
                <c:ptCount val="4"/>
                <c:pt idx="0">
                  <c:v>10</c:v>
                </c:pt>
                <c:pt idx="1">
                  <c:v>11</c:v>
                </c:pt>
                <c:pt idx="2">
                  <c:v>1</c:v>
                </c:pt>
                <c:pt idx="3">
                  <c:v>22</c:v>
                </c:pt>
              </c:numCache>
            </c:numRef>
          </c:val>
        </c:ser>
        <c:ser>
          <c:idx val="1"/>
          <c:order val="1"/>
          <c:tx>
            <c:strRef>
              <c:f>Resultados_Sistemas_ACH!$B$15</c:f>
              <c:strCache>
                <c:ptCount val="1"/>
                <c:pt idx="0">
                  <c:v>Mica Quito Sur</c:v>
                </c:pt>
              </c:strCache>
            </c:strRef>
          </c:tx>
          <c:spPr>
            <a:pattFill xmlns:a="http://schemas.openxmlformats.org/drawingml/2006/main" prst="narHorz">
              <a:fgClr>
                <a:schemeClr val="accent2"/>
              </a:fgClr>
              <a:bgClr>
                <a:schemeClr val="accent2">
                  <a:lumMod val="20000"/>
                  <a:lumOff val="80000"/>
                </a:schemeClr>
              </a:bgClr>
            </a:pattFill>
            <a:ln xmlns:a="http://schemas.openxmlformats.org/drawingml/2006/main">
              <a:noFill/>
            </a:ln>
          </c:spPr>
          <c:cat>
            <c:strRef>
              <c:f>Resultados_Sistemas_ACH!$C$13:$F$13</c:f>
              <c:strCache>
                <c:ptCount val="4"/>
                <c:pt idx="0">
                  <c:v>Becarios</c:v>
                </c:pt>
                <c:pt idx="1">
                  <c:v>Apoyo a Investigaciones</c:v>
                </c:pt>
                <c:pt idx="2">
                  <c:v>Proyectos de Investigación</c:v>
                </c:pt>
                <c:pt idx="3">
                  <c:v>TOTAL ECAP</c:v>
                </c:pt>
              </c:strCache>
            </c:strRef>
          </c:cat>
          <c:val>
            <c:numRef>
              <c:f>Resultados_Sistemas_ACH!$C$15:$F$15</c:f>
              <c:numCache>
                <c:formatCode>General</c:formatCode>
                <c:ptCount val="4"/>
                <c:pt idx="0">
                  <c:v>14</c:v>
                </c:pt>
                <c:pt idx="1">
                  <c:v>12</c:v>
                </c:pt>
                <c:pt idx="2">
                  <c:v>10</c:v>
                </c:pt>
                <c:pt idx="3">
                  <c:v>36</c:v>
                </c:pt>
              </c:numCache>
            </c:numRef>
          </c:val>
        </c:ser>
        <c:ser>
          <c:idx val="2"/>
          <c:order val="2"/>
          <c:tx>
            <c:strRef>
              <c:f>Resultados_Sistemas_ACH!$B$16</c:f>
              <c:strCache>
                <c:ptCount val="1"/>
                <c:pt idx="0">
                  <c:v>Pita</c:v>
                </c:pt>
              </c:strCache>
            </c:strRef>
          </c:tx>
          <c:spPr>
            <a:pattFill xmlns:a="http://schemas.openxmlformats.org/drawingml/2006/main" prst="narHorz">
              <a:fgClr>
                <a:schemeClr val="accent3"/>
              </a:fgClr>
              <a:bgClr>
                <a:schemeClr val="accent3">
                  <a:lumMod val="20000"/>
                  <a:lumOff val="80000"/>
                </a:schemeClr>
              </a:bgClr>
            </a:pattFill>
            <a:ln xmlns:a="http://schemas.openxmlformats.org/drawingml/2006/main">
              <a:noFill/>
            </a:ln>
          </c:spPr>
          <c:cat>
            <c:strRef>
              <c:f>Resultados_Sistemas_ACH!$C$13:$F$13</c:f>
              <c:strCache>
                <c:ptCount val="4"/>
                <c:pt idx="0">
                  <c:v>Becarios</c:v>
                </c:pt>
                <c:pt idx="1">
                  <c:v>Apoyo a Investigaciones</c:v>
                </c:pt>
                <c:pt idx="2">
                  <c:v>Proyectos de Investigación</c:v>
                </c:pt>
                <c:pt idx="3">
                  <c:v>TOTAL ECAP</c:v>
                </c:pt>
              </c:strCache>
            </c:strRef>
          </c:cat>
          <c:val>
            <c:numRef>
              <c:f>Resultados_Sistemas_ACH!$C$16:$F$16</c:f>
              <c:numCache>
                <c:formatCode>General</c:formatCode>
                <c:ptCount val="4"/>
                <c:pt idx="0">
                  <c:v>6</c:v>
                </c:pt>
                <c:pt idx="1">
                  <c:v>2</c:v>
                </c:pt>
                <c:pt idx="2">
                  <c:v>0</c:v>
                </c:pt>
                <c:pt idx="3">
                  <c:v>8</c:v>
                </c:pt>
              </c:numCache>
            </c:numRef>
          </c:val>
        </c:ser>
        <c:ser>
          <c:idx val="3"/>
          <c:order val="3"/>
          <c:tx>
            <c:strRef>
              <c:f>Resultados_Sistemas_ACH!$B$17</c:f>
              <c:strCache>
                <c:ptCount val="1"/>
                <c:pt idx="0">
                  <c:v>Atacazo</c:v>
                </c:pt>
              </c:strCache>
            </c:strRef>
          </c:tx>
          <c:spPr>
            <a:pattFill xmlns:a="http://schemas.openxmlformats.org/drawingml/2006/main" prst="narHorz">
              <a:fgClr>
                <a:schemeClr val="accent4"/>
              </a:fgClr>
              <a:bgClr>
                <a:schemeClr val="accent4">
                  <a:lumMod val="20000"/>
                  <a:lumOff val="80000"/>
                </a:schemeClr>
              </a:bgClr>
            </a:pattFill>
            <a:ln xmlns:a="http://schemas.openxmlformats.org/drawingml/2006/main">
              <a:noFill/>
            </a:ln>
          </c:spPr>
          <c:cat>
            <c:strRef>
              <c:f>Resultados_Sistemas_ACH!$C$13:$F$13</c:f>
              <c:strCache>
                <c:ptCount val="4"/>
                <c:pt idx="0">
                  <c:v>Becarios</c:v>
                </c:pt>
                <c:pt idx="1">
                  <c:v>Apoyo a Investigaciones</c:v>
                </c:pt>
                <c:pt idx="2">
                  <c:v>Proyectos de Investigación</c:v>
                </c:pt>
                <c:pt idx="3">
                  <c:v>TOTAL ECAP</c:v>
                </c:pt>
              </c:strCache>
            </c:strRef>
          </c:cat>
          <c:val>
            <c:numRef>
              <c:f>Resultados_Sistemas_ACH!$C$17:$F$17</c:f>
              <c:numCache>
                <c:formatCode>General</c:formatCode>
                <c:ptCount val="4"/>
                <c:pt idx="0">
                  <c:v>1</c:v>
                </c:pt>
                <c:pt idx="1">
                  <c:v>3</c:v>
                </c:pt>
                <c:pt idx="2">
                  <c:v>0</c:v>
                </c:pt>
                <c:pt idx="3">
                  <c:v>4</c:v>
                </c:pt>
              </c:numCache>
            </c:numRef>
          </c:val>
        </c:ser>
        <c:ser>
          <c:idx val="4"/>
          <c:order val="4"/>
          <c:tx>
            <c:strRef>
              <c:f>Resultados_Sistemas_ACH!$B$18</c:f>
              <c:strCache>
                <c:ptCount val="1"/>
                <c:pt idx="0">
                  <c:v>Noroccidente</c:v>
                </c:pt>
              </c:strCache>
            </c:strRef>
          </c:tx>
          <c:spPr>
            <a:pattFill xmlns:a="http://schemas.openxmlformats.org/drawingml/2006/main" prst="narHorz">
              <a:fgClr>
                <a:schemeClr val="accent5"/>
              </a:fgClr>
              <a:bgClr>
                <a:schemeClr val="accent5">
                  <a:lumMod val="20000"/>
                  <a:lumOff val="80000"/>
                </a:schemeClr>
              </a:bgClr>
            </a:pattFill>
            <a:ln xmlns:a="http://schemas.openxmlformats.org/drawingml/2006/main">
              <a:noFill/>
            </a:ln>
          </c:spPr>
          <c:cat>
            <c:strRef>
              <c:f>Resultados_Sistemas_ACH!$C$13:$F$13</c:f>
              <c:strCache>
                <c:ptCount val="4"/>
                <c:pt idx="0">
                  <c:v>Becarios</c:v>
                </c:pt>
                <c:pt idx="1">
                  <c:v>Apoyo a Investigaciones</c:v>
                </c:pt>
                <c:pt idx="2">
                  <c:v>Proyectos de Investigación</c:v>
                </c:pt>
                <c:pt idx="3">
                  <c:v>TOTAL ECAP</c:v>
                </c:pt>
              </c:strCache>
            </c:strRef>
          </c:cat>
          <c:val>
            <c:numRef>
              <c:f>Resultados_Sistemas_ACH!$C$18:$F$18</c:f>
              <c:numCache>
                <c:formatCode>General</c:formatCode>
                <c:ptCount val="4"/>
                <c:pt idx="0">
                  <c:v>1</c:v>
                </c:pt>
                <c:pt idx="1">
                  <c:v>1</c:v>
                </c:pt>
                <c:pt idx="2">
                  <c:v>0</c:v>
                </c:pt>
                <c:pt idx="3">
                  <c:v>2</c:v>
                </c:pt>
              </c:numCache>
            </c:numRef>
          </c:val>
        </c:ser>
        <c:ser>
          <c:idx val="5"/>
          <c:order val="5"/>
          <c:tx>
            <c:strRef>
              <c:f>Resultados_Sistemas_ACH!$B$19</c:f>
              <c:strCache>
                <c:ptCount val="1"/>
                <c:pt idx="0">
                  <c:v>Otros </c:v>
                </c:pt>
              </c:strCache>
            </c:strRef>
          </c:tx>
          <c:spPr>
            <a:pattFill xmlns:a="http://schemas.openxmlformats.org/drawingml/2006/main" prst="narHorz">
              <a:fgClr>
                <a:schemeClr val="accent6"/>
              </a:fgClr>
              <a:bgClr>
                <a:schemeClr val="accent6">
                  <a:lumMod val="20000"/>
                  <a:lumOff val="80000"/>
                </a:schemeClr>
              </a:bgClr>
            </a:pattFill>
            <a:ln xmlns:a="http://schemas.openxmlformats.org/drawingml/2006/main">
              <a:noFill/>
            </a:ln>
          </c:spPr>
          <c:cat>
            <c:strRef>
              <c:f>Resultados_Sistemas_ACH!$C$13:$F$13</c:f>
              <c:strCache>
                <c:ptCount val="4"/>
                <c:pt idx="0">
                  <c:v>Becarios</c:v>
                </c:pt>
                <c:pt idx="1">
                  <c:v>Apoyo a Investigaciones</c:v>
                </c:pt>
                <c:pt idx="2">
                  <c:v>Proyectos de Investigación</c:v>
                </c:pt>
                <c:pt idx="3">
                  <c:v>TOTAL ECAP</c:v>
                </c:pt>
              </c:strCache>
            </c:strRef>
          </c:cat>
          <c:val>
            <c:numRef>
              <c:f>Resultados_Sistemas_ACH!$C$19:$F$19</c:f>
              <c:numCache>
                <c:formatCode>General</c:formatCode>
                <c:ptCount val="4"/>
                <c:pt idx="0">
                  <c:v>1</c:v>
                </c:pt>
                <c:pt idx="1">
                  <c:v>3</c:v>
                </c:pt>
                <c:pt idx="2">
                  <c:v>0</c:v>
                </c:pt>
                <c:pt idx="3">
                  <c:v>4</c:v>
                </c:pt>
              </c:numCache>
            </c:numRef>
          </c:val>
        </c:ser>
        <c:dLbls>
          <c:showLegendKey val="0"/>
          <c:showVal val="0"/>
          <c:showCatName val="0"/>
          <c:showSerName val="0"/>
          <c:showPercent val="0"/>
          <c:showBubbleSize val="0"/>
        </c:dLbls>
        <c:gapWidth val="164"/>
        <c:overlap val="-22"/>
        <c:axId val="450034112"/>
        <c:axId val="450035680"/>
      </c:barChart>
      <c:catAx>
        <c:axId val="450034112"/>
        <c:scaling>
          <c:orientation val="minMax"/>
        </c:scaling>
        <c:delete val="0"/>
        <c:axPos val="b"/>
        <c:numFmt formatCode="General" sourceLinked="1"/>
        <c:majorTickMark val="none"/>
        <c:minorTickMark val="none"/>
        <c:tickLblPos val="nextTo"/>
        <c:spPr>
          <a:ln xmlns:a="http://schemas.openxmlformats.org/drawingml/2006/main" w="19050" cmpd="sng">
            <a:solidFill>
              <a:schemeClr val="tx1">
                <a:lumMod val="25000"/>
                <a:lumOff val="75000"/>
              </a:schemeClr>
            </a:solidFill>
          </a:ln>
        </c:spPr>
        <c:txPr>
          <a:bodyPr xmlns:a="http://schemas.openxmlformats.org/drawingml/2006/main" rot="-60000000" spcFirstLastPara="1" vert="horz" wrap="square" anchor="ctr" anchorCtr="1"/>
          <a:lstStyle xmlns:a="http://schemas.openxmlformats.org/drawingml/2006/main"/>
          <a:p xmlns:a="http://schemas.openxmlformats.org/drawingml/2006/main">
            <a:pPr>
              <a:defRPr sz="900" b="0" i="0" u="none">
                <a:solidFill>
                  <a:schemeClr val="tx1">
                    <a:lumMod val="65000"/>
                    <a:lumOff val="35000"/>
                  </a:schemeClr>
                </a:solidFill>
                <a:latin typeface="+mn-lt"/>
                <a:ea typeface="+mn-lt"/>
                <a:cs typeface="+mn-lt"/>
              </a:defRPr>
            </a:pPr>
          </a:p>
        </c:txPr>
        <c:crossAx val="450035680"/>
        <c:crosses val="autoZero"/>
        <c:lblOffset val="100"/>
      </c:catAx>
      <c:valAx>
        <c:axId val="450035680"/>
        <c:scaling>
          <c:orientation val="minMax"/>
        </c:scaling>
        <c:delete val="0"/>
        <c:axPos val="l"/>
        <c:numFmt formatCode="General" sourceLinked="1"/>
        <c:majorTickMark val="none"/>
        <c:minorTickMark val="none"/>
        <c:tickLblPos val="nextTo"/>
        <c:spPr>
          <a:ln xmlns:a="http://schemas.openxmlformats.org/drawingml/2006/main">
            <a:noFill/>
          </a:ln>
        </c:spPr>
        <c:txPr>
          <a:bodyPr xmlns:a="http://schemas.openxmlformats.org/drawingml/2006/main" rot="-60000000" vert="horz" anchor="ctr" anchorCtr="1"/>
          <a:lstStyle xmlns:a="http://schemas.openxmlformats.org/drawingml/2006/main"/>
          <a:p xmlns:a="http://schemas.openxmlformats.org/drawingml/2006/main">
            <a:pPr>
              <a:defRPr sz="900" b="0" i="0" u="none">
                <a:solidFill>
                  <a:schemeClr val="tx1">
                    <a:lumMod val="65000"/>
                    <a:lumOff val="35000"/>
                  </a:schemeClr>
                </a:solidFill>
                <a:latin typeface="+mn-lt"/>
                <a:ea typeface="+mn-lt"/>
                <a:cs typeface="+mn-lt"/>
              </a:defRPr>
            </a:pPr>
          </a:p>
        </c:txPr>
        <c:crossAx val="450034112"/>
        <c:crosses val="autoZero"/>
        <c:crossBetween val="between"/>
      </c:valAx>
      <c:spPr>
        <a:noFill xmlns:a="http://schemas.openxmlformats.org/drawingml/2006/main"/>
        <a:ln xmlns:a="http://schemas.openxmlformats.org/drawingml/2006/main">
          <a:noFill/>
        </a:ln>
      </c:spPr>
    </c:plotArea>
    <c:legend>
      <c:legendPos val="b"/>
      <c:overlay val="0"/>
      <c:spPr>
        <a:noFill xmlns:a="http://schemas.openxmlformats.org/drawingml/2006/main"/>
      </c:spPr>
      <c:txPr>
        <a:bodyPr xmlns:a="http://schemas.openxmlformats.org/drawingml/2006/main" rot="0" vert="horz" anchor="ctr" anchorCtr="1"/>
        <a:lstStyle xmlns:a="http://schemas.openxmlformats.org/drawingml/2006/main"/>
        <a:p xmlns:a="http://schemas.openxmlformats.org/drawingml/2006/main">
          <a:pPr>
            <a:defRPr sz="900" b="0" i="0" u="none">
              <a:solidFill>
                <a:schemeClr val="tx1">
                  <a:lumMod val="65000"/>
                  <a:lumOff val="35000"/>
                </a:schemeClr>
              </a:solidFill>
              <a:latin typeface="+mn-lt"/>
              <a:ea typeface="+mn-lt"/>
              <a:cs typeface="+mn-lt"/>
            </a:defRPr>
          </a:pPr>
        </a:p>
      </c:txPr>
    </c:legend>
    <c:plotVisOnly val="1"/>
  </c:chart>
  <c:spPr>
    <a:solidFill xmlns:a="http://schemas.openxmlformats.org/drawingml/2006/main">
      <a:schemeClr val="bg1"/>
    </a:solidFill>
    <a:ln xmlns:a="http://schemas.openxmlformats.org/drawingml/2006/main" w="9525" cmpd="sng">
      <a:solidFill>
        <a:schemeClr val="tx1">
          <a:lumMod val="15000"/>
          <a:lumOff val="85000"/>
        </a:schemeClr>
      </a:solidFill>
    </a:ln>
  </c:spPr>
</c:chartSpace>
</file>

<file path=xl/drawings/charts/chart6.xml><?xml version="1.0" encoding="utf-8"?>
<c:chartSpace xmlns:mc="http://schemas.openxmlformats.org/markup-compatibility/2006" xmlns:c14="http://schemas.microsoft.com/office/drawing/2007/8/2/chart" xmlns:c="http://schemas.openxmlformats.org/drawingml/2006/chart" mc:Ignorable="c14">
  <c:lang val="en-US"/>
  <c:roundedCorners val="0"/>
  <mc:AlternateContent>
    <mc:Choice Requires="c14">
      <c14:style val="102"/>
    </mc:Choice>
    <mc:Fallback>
      <c:style val="2"/>
    </mc:Fallback>
  </mc:AlternateContent>
  <c:chart>
    <c:title>
      <c:tx>
        <c:rich>
          <a:bodyPr xmlns:a="http://schemas.openxmlformats.org/drawingml/2006/main"/>
          <a:lstStyle xmlns:a="http://schemas.openxmlformats.org/drawingml/2006/main"/>
          <a:p xmlns:a="http://schemas.openxmlformats.org/drawingml/2006/main">
            <a:r>
              <a:rPr sz="1400" b="1" i="0" u="none" cap="all" spc="150">
                <a:solidFill>
                  <a:schemeClr val="tx1"/>
                </a:solidFill>
                <a:latin typeface="+mn-lt"/>
                <a:ea typeface="+mn-lt"/>
                <a:cs typeface="+mn-lt"/>
              </a:rPr>
              <a:t>ESTUDIOS ECAP POR colaboración con UNIVERSIDADES</a:t>
            </a:r>
          </a:p>
        </c:rich>
      </c:tx>
      <c:layout>
        <c:manualLayout>
          <c:xMode val="edge"/>
          <c:yMode val="edge"/>
          <c:x val="0.12631233595800526"/>
          <c:y val="0.013888888888888888"/>
        </c:manualLayout>
      </c:layout>
      <c:overlay val="0"/>
      <c:txPr>
        <a:bodyPr xmlns:a="http://schemas.openxmlformats.org/drawingml/2006/main" rot="0" vert="horz" anchor="ctr" anchorCtr="1"/>
        <a:lstStyle xmlns:a="http://schemas.openxmlformats.org/drawingml/2006/main"/>
        <a:p xmlns:a="http://schemas.openxmlformats.org/drawingml/2006/main">
          <a:pPr>
            <a:defRPr sz="1400" b="1" i="0" u="none" cap="all" spc="150">
              <a:solidFill>
                <a:schemeClr val="tx1"/>
              </a:solidFill>
              <a:latin typeface="+mn-lt"/>
              <a:ea typeface="+mn-lt"/>
              <a:cs typeface="+mn-lt"/>
            </a:defRPr>
          </a:pPr>
        </a:p>
      </c:txPr>
    </c:title>
    <c:autoTitleDeleted val="0"/>
    <c:plotArea>
      <c:barChart>
        <c:barDir val="col"/>
        <c:grouping val="clustered"/>
        <c:varyColors val="0"/>
        <c:ser>
          <c:idx val="0"/>
          <c:order val="0"/>
          <c:tx>
            <c:strRef>
              <c:f>Resultados_Sistemas_ACH!$B$24</c:f>
              <c:strCache>
                <c:ptCount val="1"/>
                <c:pt idx="0">
                  <c:v>EPN</c:v>
                </c:pt>
              </c:strCache>
            </c:strRef>
          </c:tx>
          <c:spPr>
            <a:pattFill xmlns:a="http://schemas.openxmlformats.org/drawingml/2006/main" prst="narHorz">
              <a:fgClr>
                <a:schemeClr val="accent1"/>
              </a:fgClr>
              <a:bgClr>
                <a:schemeClr val="accent1">
                  <a:lumMod val="20000"/>
                  <a:lumOff val="80000"/>
                </a:schemeClr>
              </a:bgClr>
            </a:pattFill>
            <a:ln xmlns:a="http://schemas.openxmlformats.org/drawingml/2006/main">
              <a:noFill/>
            </a:ln>
          </c:spPr>
          <c:cat>
            <c:strRef>
              <c:f>Resultados_Sistemas_ACH!$C$23:$F$23</c:f>
              <c:strCache>
                <c:ptCount val="4"/>
                <c:pt idx="0">
                  <c:v>Becarios</c:v>
                </c:pt>
                <c:pt idx="1">
                  <c:v>Apoyo a Investigaciones</c:v>
                </c:pt>
                <c:pt idx="2">
                  <c:v>Proyectos de Investigación</c:v>
                </c:pt>
                <c:pt idx="3">
                  <c:v>TOTAL ECAP</c:v>
                </c:pt>
              </c:strCache>
            </c:strRef>
          </c:cat>
          <c:val>
            <c:numRef>
              <c:f>Resultados_Sistemas_ACH!$C$24:$F$24</c:f>
              <c:numCache>
                <c:formatCode>General</c:formatCode>
                <c:ptCount val="4"/>
                <c:pt idx="0">
                  <c:v>5</c:v>
                </c:pt>
                <c:pt idx="1">
                  <c:v>19</c:v>
                </c:pt>
                <c:pt idx="2">
                  <c:v>2</c:v>
                </c:pt>
                <c:pt idx="3">
                  <c:v>26</c:v>
                </c:pt>
              </c:numCache>
            </c:numRef>
          </c:val>
        </c:ser>
        <c:ser>
          <c:idx val="1"/>
          <c:order val="1"/>
          <c:tx>
            <c:strRef>
              <c:f>Resultados_Sistemas_ACH!$B$25</c:f>
              <c:strCache>
                <c:ptCount val="1"/>
                <c:pt idx="0">
                  <c:v>UTC</c:v>
                </c:pt>
              </c:strCache>
            </c:strRef>
          </c:tx>
          <c:spPr>
            <a:pattFill xmlns:a="http://schemas.openxmlformats.org/drawingml/2006/main" prst="narHorz">
              <a:fgClr>
                <a:schemeClr val="accent2"/>
              </a:fgClr>
              <a:bgClr>
                <a:schemeClr val="accent2">
                  <a:lumMod val="20000"/>
                  <a:lumOff val="80000"/>
                </a:schemeClr>
              </a:bgClr>
            </a:pattFill>
            <a:ln xmlns:a="http://schemas.openxmlformats.org/drawingml/2006/main">
              <a:noFill/>
            </a:ln>
          </c:spPr>
          <c:cat>
            <c:strRef>
              <c:f>Resultados_Sistemas_ACH!$C$23:$F$23</c:f>
              <c:strCache>
                <c:ptCount val="4"/>
                <c:pt idx="0">
                  <c:v>Becarios</c:v>
                </c:pt>
                <c:pt idx="1">
                  <c:v>Apoyo a Investigaciones</c:v>
                </c:pt>
                <c:pt idx="2">
                  <c:v>Proyectos de Investigación</c:v>
                </c:pt>
                <c:pt idx="3">
                  <c:v>TOTAL ECAP</c:v>
                </c:pt>
              </c:strCache>
            </c:strRef>
          </c:cat>
          <c:val>
            <c:numRef>
              <c:f>Resultados_Sistemas_ACH!$C$25:$F$25</c:f>
              <c:numCache>
                <c:formatCode>General</c:formatCode>
                <c:ptCount val="4"/>
                <c:pt idx="0">
                  <c:v>0</c:v>
                </c:pt>
                <c:pt idx="1">
                  <c:v>1</c:v>
                </c:pt>
                <c:pt idx="2">
                  <c:v>0</c:v>
                </c:pt>
                <c:pt idx="3">
                  <c:v>1</c:v>
                </c:pt>
              </c:numCache>
            </c:numRef>
          </c:val>
        </c:ser>
        <c:ser>
          <c:idx val="2"/>
          <c:order val="2"/>
          <c:tx>
            <c:strRef>
              <c:f>Resultados_Sistemas_ACH!$B$26</c:f>
              <c:strCache>
                <c:ptCount val="1"/>
                <c:pt idx="0">
                  <c:v>UCE</c:v>
                </c:pt>
              </c:strCache>
            </c:strRef>
          </c:tx>
          <c:spPr>
            <a:pattFill xmlns:a="http://schemas.openxmlformats.org/drawingml/2006/main" prst="narHorz">
              <a:fgClr>
                <a:schemeClr val="accent3"/>
              </a:fgClr>
              <a:bgClr>
                <a:schemeClr val="accent3">
                  <a:lumMod val="20000"/>
                  <a:lumOff val="80000"/>
                </a:schemeClr>
              </a:bgClr>
            </a:pattFill>
            <a:ln xmlns:a="http://schemas.openxmlformats.org/drawingml/2006/main">
              <a:noFill/>
            </a:ln>
          </c:spPr>
          <c:cat>
            <c:strRef>
              <c:f>Resultados_Sistemas_ACH!$C$23:$F$23</c:f>
              <c:strCache>
                <c:ptCount val="4"/>
                <c:pt idx="0">
                  <c:v>Becarios</c:v>
                </c:pt>
                <c:pt idx="1">
                  <c:v>Apoyo a Investigaciones</c:v>
                </c:pt>
                <c:pt idx="2">
                  <c:v>Proyectos de Investigación</c:v>
                </c:pt>
                <c:pt idx="3">
                  <c:v>TOTAL ECAP</c:v>
                </c:pt>
              </c:strCache>
            </c:strRef>
          </c:cat>
          <c:val>
            <c:numRef>
              <c:f>Resultados_Sistemas_ACH!$C$26:$F$26</c:f>
              <c:numCache>
                <c:formatCode>General</c:formatCode>
                <c:ptCount val="4"/>
                <c:pt idx="0">
                  <c:v>1</c:v>
                </c:pt>
                <c:pt idx="1">
                  <c:v>4</c:v>
                </c:pt>
                <c:pt idx="2">
                  <c:v>1</c:v>
                </c:pt>
                <c:pt idx="3">
                  <c:v>6</c:v>
                </c:pt>
              </c:numCache>
            </c:numRef>
          </c:val>
        </c:ser>
        <c:ser>
          <c:idx val="3"/>
          <c:order val="3"/>
          <c:tx>
            <c:strRef>
              <c:f>Resultados_Sistemas_ACH!$B$27</c:f>
              <c:strCache>
                <c:ptCount val="1"/>
                <c:pt idx="0">
                  <c:v>ESPE</c:v>
                </c:pt>
              </c:strCache>
            </c:strRef>
          </c:tx>
          <c:spPr>
            <a:pattFill xmlns:a="http://schemas.openxmlformats.org/drawingml/2006/main" prst="narHorz">
              <a:fgClr>
                <a:schemeClr val="accent4"/>
              </a:fgClr>
              <a:bgClr>
                <a:schemeClr val="accent4">
                  <a:lumMod val="20000"/>
                  <a:lumOff val="80000"/>
                </a:schemeClr>
              </a:bgClr>
            </a:pattFill>
            <a:ln xmlns:a="http://schemas.openxmlformats.org/drawingml/2006/main">
              <a:noFill/>
            </a:ln>
          </c:spPr>
          <c:cat>
            <c:strRef>
              <c:f>Resultados_Sistemas_ACH!$C$23:$F$23</c:f>
              <c:strCache>
                <c:ptCount val="4"/>
                <c:pt idx="0">
                  <c:v>Becarios</c:v>
                </c:pt>
                <c:pt idx="1">
                  <c:v>Apoyo a Investigaciones</c:v>
                </c:pt>
                <c:pt idx="2">
                  <c:v>Proyectos de Investigación</c:v>
                </c:pt>
                <c:pt idx="3">
                  <c:v>TOTAL ECAP</c:v>
                </c:pt>
              </c:strCache>
            </c:strRef>
          </c:cat>
          <c:val>
            <c:numRef>
              <c:f>Resultados_Sistemas_ACH!$C$27:$F$27</c:f>
              <c:numCache>
                <c:formatCode>General</c:formatCode>
                <c:ptCount val="4"/>
                <c:pt idx="0">
                  <c:v>1</c:v>
                </c:pt>
                <c:pt idx="1">
                  <c:v>2</c:v>
                </c:pt>
                <c:pt idx="2">
                  <c:v>0</c:v>
                </c:pt>
                <c:pt idx="3">
                  <c:v>3</c:v>
                </c:pt>
              </c:numCache>
            </c:numRef>
          </c:val>
        </c:ser>
        <c:ser>
          <c:idx val="4"/>
          <c:order val="4"/>
          <c:tx>
            <c:strRef>
              <c:f>Resultados_Sistemas_ACH!$B$28</c:f>
              <c:strCache>
                <c:ptCount val="1"/>
                <c:pt idx="0">
                  <c:v>YACHAY</c:v>
                </c:pt>
              </c:strCache>
            </c:strRef>
          </c:tx>
          <c:spPr>
            <a:pattFill xmlns:a="http://schemas.openxmlformats.org/drawingml/2006/main" prst="narHorz">
              <a:fgClr>
                <a:schemeClr val="accent5"/>
              </a:fgClr>
              <a:bgClr>
                <a:schemeClr val="accent5">
                  <a:lumMod val="20000"/>
                  <a:lumOff val="80000"/>
                </a:schemeClr>
              </a:bgClr>
            </a:pattFill>
            <a:ln xmlns:a="http://schemas.openxmlformats.org/drawingml/2006/main">
              <a:noFill/>
            </a:ln>
          </c:spPr>
          <c:cat>
            <c:strRef>
              <c:f>Resultados_Sistemas_ACH!$C$23:$F$23</c:f>
              <c:strCache>
                <c:ptCount val="4"/>
                <c:pt idx="0">
                  <c:v>Becarios</c:v>
                </c:pt>
                <c:pt idx="1">
                  <c:v>Apoyo a Investigaciones</c:v>
                </c:pt>
                <c:pt idx="2">
                  <c:v>Proyectos de Investigación</c:v>
                </c:pt>
                <c:pt idx="3">
                  <c:v>TOTAL ECAP</c:v>
                </c:pt>
              </c:strCache>
            </c:strRef>
          </c:cat>
          <c:val>
            <c:numRef>
              <c:f>Resultados_Sistemas_ACH!$C$28:$F$28</c:f>
              <c:numCache>
                <c:formatCode>General</c:formatCode>
                <c:ptCount val="4"/>
                <c:pt idx="0">
                  <c:v>2</c:v>
                </c:pt>
                <c:pt idx="1">
                  <c:v>1</c:v>
                </c:pt>
                <c:pt idx="2">
                  <c:v>0</c:v>
                </c:pt>
                <c:pt idx="3">
                  <c:v>3</c:v>
                </c:pt>
              </c:numCache>
            </c:numRef>
          </c:val>
        </c:ser>
        <c:ser>
          <c:idx val="5"/>
          <c:order val="5"/>
          <c:tx>
            <c:strRef>
              <c:f>Resultados_Sistemas_ACH!$B$29</c:f>
              <c:strCache>
                <c:ptCount val="1"/>
                <c:pt idx="0">
                  <c:v>PUCE</c:v>
                </c:pt>
              </c:strCache>
            </c:strRef>
          </c:tx>
          <c:spPr>
            <a:pattFill xmlns:a="http://schemas.openxmlformats.org/drawingml/2006/main" prst="narHorz">
              <a:fgClr>
                <a:schemeClr val="accent6"/>
              </a:fgClr>
              <a:bgClr>
                <a:schemeClr val="accent6">
                  <a:lumMod val="20000"/>
                  <a:lumOff val="80000"/>
                </a:schemeClr>
              </a:bgClr>
            </a:pattFill>
            <a:ln xmlns:a="http://schemas.openxmlformats.org/drawingml/2006/main">
              <a:noFill/>
            </a:ln>
          </c:spPr>
          <c:cat>
            <c:strRef>
              <c:f>Resultados_Sistemas_ACH!$C$23:$F$23</c:f>
              <c:strCache>
                <c:ptCount val="4"/>
                <c:pt idx="0">
                  <c:v>Becarios</c:v>
                </c:pt>
                <c:pt idx="1">
                  <c:v>Apoyo a Investigaciones</c:v>
                </c:pt>
                <c:pt idx="2">
                  <c:v>Proyectos de Investigación</c:v>
                </c:pt>
                <c:pt idx="3">
                  <c:v>TOTAL ECAP</c:v>
                </c:pt>
              </c:strCache>
            </c:strRef>
          </c:cat>
          <c:val>
            <c:numRef>
              <c:f>Resultados_Sistemas_ACH!$C$29:$F$29</c:f>
              <c:numCache>
                <c:formatCode>General</c:formatCode>
                <c:ptCount val="4"/>
                <c:pt idx="0">
                  <c:v>4</c:v>
                </c:pt>
                <c:pt idx="1">
                  <c:v>5</c:v>
                </c:pt>
                <c:pt idx="2">
                  <c:v>1</c:v>
                </c:pt>
                <c:pt idx="3">
                  <c:v>10</c:v>
                </c:pt>
              </c:numCache>
            </c:numRef>
          </c:val>
        </c:ser>
        <c:ser>
          <c:idx val="6"/>
          <c:order val="6"/>
          <c:tx>
            <c:strRef>
              <c:f>Resultados_Sistemas_ACH!$B$30</c:f>
              <c:strCache>
                <c:ptCount val="1"/>
                <c:pt idx="0">
                  <c:v>UTE</c:v>
                </c:pt>
              </c:strCache>
            </c:strRef>
          </c:tx>
          <c:spPr>
            <a:pattFill xmlns:a="http://schemas.openxmlformats.org/drawingml/2006/main" prst="narHorz">
              <a:fgClr>
                <a:schemeClr val="accent1">
                  <a:lumMod val="60000"/>
                </a:schemeClr>
              </a:fgClr>
              <a:bgClr>
                <a:schemeClr val="accent1">
                  <a:lumMod val="60000"/>
                  <a:lumOff val="80000"/>
                </a:schemeClr>
              </a:bgClr>
            </a:pattFill>
            <a:ln xmlns:a="http://schemas.openxmlformats.org/drawingml/2006/main">
              <a:noFill/>
            </a:ln>
          </c:spPr>
          <c:cat>
            <c:strRef>
              <c:f>Resultados_Sistemas_ACH!$C$23:$F$23</c:f>
              <c:strCache>
                <c:ptCount val="4"/>
                <c:pt idx="0">
                  <c:v>Becarios</c:v>
                </c:pt>
                <c:pt idx="1">
                  <c:v>Apoyo a Investigaciones</c:v>
                </c:pt>
                <c:pt idx="2">
                  <c:v>Proyectos de Investigación</c:v>
                </c:pt>
                <c:pt idx="3">
                  <c:v>TOTAL ECAP</c:v>
                </c:pt>
              </c:strCache>
            </c:strRef>
          </c:cat>
          <c:val>
            <c:numRef>
              <c:f>Resultados_Sistemas_ACH!$C$30:$F$30</c:f>
              <c:numCache>
                <c:formatCode>General</c:formatCode>
                <c:ptCount val="4"/>
                <c:pt idx="0">
                  <c:v>0</c:v>
                </c:pt>
                <c:pt idx="1">
                  <c:v>1</c:v>
                </c:pt>
                <c:pt idx="2">
                  <c:v>0</c:v>
                </c:pt>
                <c:pt idx="3">
                  <c:v>1</c:v>
                </c:pt>
              </c:numCache>
            </c:numRef>
          </c:val>
        </c:ser>
        <c:ser>
          <c:idx val="7"/>
          <c:order val="7"/>
          <c:tx>
            <c:strRef>
              <c:f>Resultados_Sistemas_ACH!$B$31</c:f>
              <c:strCache>
                <c:ptCount val="1"/>
                <c:pt idx="0">
                  <c:v>SEK</c:v>
                </c:pt>
              </c:strCache>
            </c:strRef>
          </c:tx>
          <c:spPr>
            <a:pattFill xmlns:a="http://schemas.openxmlformats.org/drawingml/2006/main" prst="narHorz">
              <a:fgClr>
                <a:schemeClr val="accent2">
                  <a:lumMod val="60000"/>
                </a:schemeClr>
              </a:fgClr>
              <a:bgClr>
                <a:schemeClr val="accent2">
                  <a:lumMod val="60000"/>
                  <a:lumOff val="80000"/>
                </a:schemeClr>
              </a:bgClr>
            </a:pattFill>
            <a:ln xmlns:a="http://schemas.openxmlformats.org/drawingml/2006/main">
              <a:noFill/>
            </a:ln>
          </c:spPr>
          <c:cat>
            <c:strRef>
              <c:f>Resultados_Sistemas_ACH!$C$23:$F$23</c:f>
              <c:strCache>
                <c:ptCount val="4"/>
                <c:pt idx="0">
                  <c:v>Becarios</c:v>
                </c:pt>
                <c:pt idx="1">
                  <c:v>Apoyo a Investigaciones</c:v>
                </c:pt>
                <c:pt idx="2">
                  <c:v>Proyectos de Investigación</c:v>
                </c:pt>
                <c:pt idx="3">
                  <c:v>TOTAL ECAP</c:v>
                </c:pt>
              </c:strCache>
            </c:strRef>
          </c:cat>
          <c:val>
            <c:numRef>
              <c:f>Resultados_Sistemas_ACH!$C$31:$F$31</c:f>
              <c:numCache>
                <c:formatCode>General</c:formatCode>
                <c:ptCount val="4"/>
                <c:pt idx="0">
                  <c:v>1</c:v>
                </c:pt>
                <c:pt idx="1">
                  <c:v>0</c:v>
                </c:pt>
                <c:pt idx="2">
                  <c:v>0</c:v>
                </c:pt>
                <c:pt idx="3">
                  <c:v>1</c:v>
                </c:pt>
              </c:numCache>
            </c:numRef>
          </c:val>
        </c:ser>
        <c:ser>
          <c:idx val="8"/>
          <c:order val="8"/>
          <c:tx>
            <c:strRef>
              <c:f>Resultados_Sistemas_ACH!$B$32</c:f>
              <c:strCache>
                <c:ptCount val="1"/>
                <c:pt idx="0">
                  <c:v>UIDE</c:v>
                </c:pt>
              </c:strCache>
            </c:strRef>
          </c:tx>
          <c:spPr>
            <a:pattFill xmlns:a="http://schemas.openxmlformats.org/drawingml/2006/main" prst="narHorz">
              <a:fgClr>
                <a:schemeClr val="accent3">
                  <a:lumMod val="60000"/>
                </a:schemeClr>
              </a:fgClr>
              <a:bgClr>
                <a:schemeClr val="accent3">
                  <a:lumMod val="60000"/>
                  <a:lumOff val="80000"/>
                </a:schemeClr>
              </a:bgClr>
            </a:pattFill>
            <a:ln xmlns:a="http://schemas.openxmlformats.org/drawingml/2006/main">
              <a:noFill/>
            </a:ln>
          </c:spPr>
          <c:cat>
            <c:strRef>
              <c:f>Resultados_Sistemas_ACH!$C$23:$F$23</c:f>
              <c:strCache>
                <c:ptCount val="4"/>
                <c:pt idx="0">
                  <c:v>Becarios</c:v>
                </c:pt>
                <c:pt idx="1">
                  <c:v>Apoyo a Investigaciones</c:v>
                </c:pt>
                <c:pt idx="2">
                  <c:v>Proyectos de Investigación</c:v>
                </c:pt>
                <c:pt idx="3">
                  <c:v>TOTAL ECAP</c:v>
                </c:pt>
              </c:strCache>
            </c:strRef>
          </c:cat>
          <c:val>
            <c:numRef>
              <c:f>Resultados_Sistemas_ACH!$C$32:$F$32</c:f>
              <c:numCache>
                <c:formatCode>General</c:formatCode>
                <c:ptCount val="4"/>
                <c:pt idx="0">
                  <c:v>1</c:v>
                </c:pt>
                <c:pt idx="1">
                  <c:v>0</c:v>
                </c:pt>
                <c:pt idx="2">
                  <c:v>0</c:v>
                </c:pt>
                <c:pt idx="3">
                  <c:v>1</c:v>
                </c:pt>
              </c:numCache>
            </c:numRef>
          </c:val>
        </c:ser>
        <c:ser>
          <c:idx val="9"/>
          <c:order val="9"/>
          <c:tx>
            <c:strRef>
              <c:f>Resultados_Sistemas_ACH!$B$33</c:f>
              <c:strCache>
                <c:ptCount val="1"/>
                <c:pt idx="0">
                  <c:v>UTI</c:v>
                </c:pt>
              </c:strCache>
            </c:strRef>
          </c:tx>
          <c:spPr>
            <a:pattFill xmlns:a="http://schemas.openxmlformats.org/drawingml/2006/main" prst="narHorz">
              <a:fgClr>
                <a:schemeClr val="accent4">
                  <a:lumMod val="60000"/>
                </a:schemeClr>
              </a:fgClr>
              <a:bgClr>
                <a:schemeClr val="accent4">
                  <a:lumMod val="60000"/>
                  <a:lumOff val="80000"/>
                </a:schemeClr>
              </a:bgClr>
            </a:pattFill>
            <a:ln xmlns:a="http://schemas.openxmlformats.org/drawingml/2006/main">
              <a:noFill/>
            </a:ln>
          </c:spPr>
          <c:cat>
            <c:strRef>
              <c:f>Resultados_Sistemas_ACH!$C$23:$F$23</c:f>
              <c:strCache>
                <c:ptCount val="4"/>
                <c:pt idx="0">
                  <c:v>Becarios</c:v>
                </c:pt>
                <c:pt idx="1">
                  <c:v>Apoyo a Investigaciones</c:v>
                </c:pt>
                <c:pt idx="2">
                  <c:v>Proyectos de Investigación</c:v>
                </c:pt>
                <c:pt idx="3">
                  <c:v>TOTAL ECAP</c:v>
                </c:pt>
              </c:strCache>
            </c:strRef>
          </c:cat>
          <c:val>
            <c:numRef>
              <c:f>Resultados_Sistemas_ACH!$C$33:$F$33</c:f>
              <c:numCache>
                <c:formatCode>General</c:formatCode>
                <c:ptCount val="4"/>
                <c:pt idx="0">
                  <c:v>1</c:v>
                </c:pt>
                <c:pt idx="1">
                  <c:v>0</c:v>
                </c:pt>
                <c:pt idx="2">
                  <c:v>0</c:v>
                </c:pt>
                <c:pt idx="3">
                  <c:v>1</c:v>
                </c:pt>
              </c:numCache>
            </c:numRef>
          </c:val>
        </c:ser>
        <c:ser>
          <c:idx val="10"/>
          <c:order val="10"/>
          <c:tx>
            <c:strRef>
              <c:f>Resultados_Sistemas_ACH!$B$34</c:f>
              <c:strCache>
                <c:ptCount val="1"/>
                <c:pt idx="0">
                  <c:v>IKIAM</c:v>
                </c:pt>
              </c:strCache>
            </c:strRef>
          </c:tx>
          <c:spPr>
            <a:pattFill xmlns:a="http://schemas.openxmlformats.org/drawingml/2006/main" prst="narHorz">
              <a:fgClr>
                <a:schemeClr val="accent5">
                  <a:lumMod val="60000"/>
                </a:schemeClr>
              </a:fgClr>
              <a:bgClr>
                <a:schemeClr val="accent5">
                  <a:lumMod val="60000"/>
                  <a:lumOff val="80000"/>
                </a:schemeClr>
              </a:bgClr>
            </a:pattFill>
            <a:ln xmlns:a="http://schemas.openxmlformats.org/drawingml/2006/main">
              <a:noFill/>
            </a:ln>
          </c:spPr>
          <c:cat>
            <c:strRef>
              <c:f>Resultados_Sistemas_ACH!$C$23:$F$23</c:f>
              <c:strCache>
                <c:ptCount val="4"/>
                <c:pt idx="0">
                  <c:v>Becarios</c:v>
                </c:pt>
                <c:pt idx="1">
                  <c:v>Apoyo a Investigaciones</c:v>
                </c:pt>
                <c:pt idx="2">
                  <c:v>Proyectos de Investigación</c:v>
                </c:pt>
                <c:pt idx="3">
                  <c:v>TOTAL ECAP</c:v>
                </c:pt>
              </c:strCache>
            </c:strRef>
          </c:cat>
          <c:val>
            <c:numRef>
              <c:f>Resultados_Sistemas_ACH!$C$34:$F$34</c:f>
              <c:numCache>
                <c:formatCode>General</c:formatCode>
                <c:ptCount val="4"/>
                <c:pt idx="0">
                  <c:v>6</c:v>
                </c:pt>
                <c:pt idx="1">
                  <c:v>0</c:v>
                </c:pt>
                <c:pt idx="2">
                  <c:v>0</c:v>
                </c:pt>
                <c:pt idx="3">
                  <c:v>6</c:v>
                </c:pt>
              </c:numCache>
            </c:numRef>
          </c:val>
        </c:ser>
        <c:ser>
          <c:idx val="11"/>
          <c:order val="11"/>
          <c:tx>
            <c:strRef>
              <c:f>Resultados_Sistemas_ACH!$B$35</c:f>
              <c:strCache>
                <c:ptCount val="1"/>
                <c:pt idx="0">
                  <c:v>UTN</c:v>
                </c:pt>
              </c:strCache>
            </c:strRef>
          </c:tx>
          <c:spPr>
            <a:pattFill xmlns:a="http://schemas.openxmlformats.org/drawingml/2006/main" prst="narHorz">
              <a:fgClr>
                <a:schemeClr val="accent6">
                  <a:lumMod val="60000"/>
                </a:schemeClr>
              </a:fgClr>
              <a:bgClr>
                <a:schemeClr val="accent6">
                  <a:lumMod val="60000"/>
                  <a:lumOff val="80000"/>
                </a:schemeClr>
              </a:bgClr>
            </a:pattFill>
            <a:ln xmlns:a="http://schemas.openxmlformats.org/drawingml/2006/main">
              <a:noFill/>
            </a:ln>
          </c:spPr>
          <c:cat>
            <c:strRef>
              <c:f>Resultados_Sistemas_ACH!$C$23:$F$23</c:f>
              <c:strCache>
                <c:ptCount val="4"/>
                <c:pt idx="0">
                  <c:v>Becarios</c:v>
                </c:pt>
                <c:pt idx="1">
                  <c:v>Apoyo a Investigaciones</c:v>
                </c:pt>
                <c:pt idx="2">
                  <c:v>Proyectos de Investigación</c:v>
                </c:pt>
                <c:pt idx="3">
                  <c:v>TOTAL ECAP</c:v>
                </c:pt>
              </c:strCache>
            </c:strRef>
          </c:cat>
          <c:val>
            <c:numRef>
              <c:f>Resultados_Sistemas_ACH!$C$35:$F$35</c:f>
              <c:numCache>
                <c:formatCode>General</c:formatCode>
                <c:ptCount val="4"/>
                <c:pt idx="0">
                  <c:v>1</c:v>
                </c:pt>
                <c:pt idx="1">
                  <c:v>0</c:v>
                </c:pt>
                <c:pt idx="2">
                  <c:v>0</c:v>
                </c:pt>
                <c:pt idx="3">
                  <c:v>1</c:v>
                </c:pt>
              </c:numCache>
            </c:numRef>
          </c:val>
        </c:ser>
        <c:ser>
          <c:idx val="12"/>
          <c:order val="12"/>
          <c:tx>
            <c:strRef>
              <c:f>Resultados_Sistemas_ACH!$B$36</c:f>
              <c:strCache>
                <c:ptCount val="1"/>
                <c:pt idx="0">
                  <c:v>Ucuenca</c:v>
                </c:pt>
              </c:strCache>
            </c:strRef>
          </c:tx>
          <c:spPr>
            <a:pattFill xmlns:a="http://schemas.openxmlformats.org/drawingml/2006/main" prst="narHorz">
              <a:fgClr>
                <a:schemeClr val="accent1">
                  <a:lumMod val="80000"/>
                  <a:lumOff val="20000"/>
                </a:schemeClr>
              </a:fgClr>
              <a:bgClr>
                <a:schemeClr val="accent1">
                  <a:lumMod val="80000"/>
                  <a:lumOff val="20000"/>
                </a:schemeClr>
              </a:bgClr>
            </a:pattFill>
            <a:ln xmlns:a="http://schemas.openxmlformats.org/drawingml/2006/main">
              <a:noFill/>
            </a:ln>
          </c:spPr>
          <c:cat>
            <c:strRef>
              <c:f>Resultados_Sistemas_ACH!$C$23:$F$23</c:f>
              <c:strCache>
                <c:ptCount val="4"/>
                <c:pt idx="0">
                  <c:v>Becarios</c:v>
                </c:pt>
                <c:pt idx="1">
                  <c:v>Apoyo a Investigaciones</c:v>
                </c:pt>
                <c:pt idx="2">
                  <c:v>Proyectos de Investigación</c:v>
                </c:pt>
                <c:pt idx="3">
                  <c:v>TOTAL ECAP</c:v>
                </c:pt>
              </c:strCache>
            </c:strRef>
          </c:cat>
          <c:val>
            <c:numRef>
              <c:f>Resultados_Sistemas_ACH!$C$36:$F$36</c:f>
              <c:numCache>
                <c:formatCode>General</c:formatCode>
                <c:ptCount val="4"/>
                <c:pt idx="0">
                  <c:v>2</c:v>
                </c:pt>
                <c:pt idx="1">
                  <c:v>0</c:v>
                </c:pt>
                <c:pt idx="2">
                  <c:v>1</c:v>
                </c:pt>
                <c:pt idx="3">
                  <c:v>3</c:v>
                </c:pt>
              </c:numCache>
            </c:numRef>
          </c:val>
        </c:ser>
        <c:ser>
          <c:idx val="13"/>
          <c:order val="13"/>
          <c:tx>
            <c:strRef>
              <c:f>Resultados_Sistemas_ACH!$B$37</c:f>
              <c:strCache>
                <c:ptCount val="1"/>
                <c:pt idx="0">
                  <c:v>Geofísica INIGEM</c:v>
                </c:pt>
              </c:strCache>
            </c:strRef>
          </c:tx>
          <c:spPr>
            <a:pattFill xmlns:a="http://schemas.openxmlformats.org/drawingml/2006/main" prst="narHorz">
              <a:fgClr>
                <a:schemeClr val="accent2">
                  <a:lumMod val="80000"/>
                  <a:lumOff val="20000"/>
                </a:schemeClr>
              </a:fgClr>
              <a:bgClr>
                <a:schemeClr val="accent2">
                  <a:lumMod val="80000"/>
                  <a:lumOff val="20000"/>
                </a:schemeClr>
              </a:bgClr>
            </a:pattFill>
            <a:ln xmlns:a="http://schemas.openxmlformats.org/drawingml/2006/main">
              <a:noFill/>
            </a:ln>
          </c:spPr>
          <c:cat>
            <c:strRef>
              <c:f>Resultados_Sistemas_ACH!$C$23:$F$23</c:f>
              <c:strCache>
                <c:ptCount val="4"/>
                <c:pt idx="0">
                  <c:v>Becarios</c:v>
                </c:pt>
                <c:pt idx="1">
                  <c:v>Apoyo a Investigaciones</c:v>
                </c:pt>
                <c:pt idx="2">
                  <c:v>Proyectos de Investigación</c:v>
                </c:pt>
                <c:pt idx="3">
                  <c:v>TOTAL ECAP</c:v>
                </c:pt>
              </c:strCache>
            </c:strRef>
          </c:cat>
          <c:val>
            <c:numRef>
              <c:f>Resultados_Sistemas_ACH!$C$37:$F$37</c:f>
              <c:numCache>
                <c:formatCode>General</c:formatCode>
                <c:ptCount val="4"/>
                <c:pt idx="0">
                  <c:v>0</c:v>
                </c:pt>
                <c:pt idx="1">
                  <c:v>0</c:v>
                </c:pt>
                <c:pt idx="2">
                  <c:v>1</c:v>
                </c:pt>
                <c:pt idx="3">
                  <c:v>1</c:v>
                </c:pt>
              </c:numCache>
            </c:numRef>
          </c:val>
        </c:ser>
        <c:ser>
          <c:idx val="14"/>
          <c:order val="14"/>
          <c:tx>
            <c:strRef>
              <c:f>Resultados_Sistemas_ACH!$B$38</c:f>
              <c:strCache>
                <c:ptCount val="1"/>
                <c:pt idx="0">
                  <c:v>UDLA</c:v>
                </c:pt>
              </c:strCache>
            </c:strRef>
          </c:tx>
          <c:spPr>
            <a:pattFill xmlns:a="http://schemas.openxmlformats.org/drawingml/2006/main" prst="narHorz">
              <a:fgClr>
                <a:schemeClr val="accent3">
                  <a:lumMod val="80000"/>
                  <a:lumOff val="20000"/>
                </a:schemeClr>
              </a:fgClr>
              <a:bgClr>
                <a:schemeClr val="accent3">
                  <a:lumMod val="80000"/>
                  <a:lumOff val="20000"/>
                </a:schemeClr>
              </a:bgClr>
            </a:pattFill>
            <a:ln xmlns:a="http://schemas.openxmlformats.org/drawingml/2006/main">
              <a:noFill/>
            </a:ln>
          </c:spPr>
          <c:cat>
            <c:strRef>
              <c:f>Resultados_Sistemas_ACH!$C$23:$F$23</c:f>
              <c:strCache>
                <c:ptCount val="4"/>
                <c:pt idx="0">
                  <c:v>Becarios</c:v>
                </c:pt>
                <c:pt idx="1">
                  <c:v>Apoyo a Investigaciones</c:v>
                </c:pt>
                <c:pt idx="2">
                  <c:v>Proyectos de Investigación</c:v>
                </c:pt>
                <c:pt idx="3">
                  <c:v>TOTAL ECAP</c:v>
                </c:pt>
              </c:strCache>
            </c:strRef>
          </c:cat>
          <c:val>
            <c:numRef>
              <c:f>Resultados_Sistemas_ACH!$C$38:$F$38</c:f>
              <c:numCache>
                <c:formatCode>General</c:formatCode>
                <c:ptCount val="4"/>
                <c:pt idx="0">
                  <c:v>0</c:v>
                </c:pt>
                <c:pt idx="1">
                  <c:v>0</c:v>
                </c:pt>
                <c:pt idx="2">
                  <c:v>1</c:v>
                </c:pt>
                <c:pt idx="3">
                  <c:v>1</c:v>
                </c:pt>
              </c:numCache>
            </c:numRef>
          </c:val>
        </c:ser>
        <c:ser>
          <c:idx val="15"/>
          <c:order val="15"/>
          <c:tx>
            <c:strRef>
              <c:f>Resultados_Sistemas_ACH!$B$39</c:f>
              <c:strCache>
                <c:ptCount val="1"/>
                <c:pt idx="0">
                  <c:v>UDA</c:v>
                </c:pt>
              </c:strCache>
            </c:strRef>
          </c:tx>
          <c:spPr>
            <a:pattFill xmlns:a="http://schemas.openxmlformats.org/drawingml/2006/main" prst="narHorz">
              <a:fgClr>
                <a:schemeClr val="accent4">
                  <a:lumMod val="80000"/>
                  <a:lumOff val="20000"/>
                </a:schemeClr>
              </a:fgClr>
              <a:bgClr>
                <a:schemeClr val="accent4">
                  <a:lumMod val="80000"/>
                  <a:lumOff val="20000"/>
                </a:schemeClr>
              </a:bgClr>
            </a:pattFill>
            <a:ln xmlns:a="http://schemas.openxmlformats.org/drawingml/2006/main">
              <a:noFill/>
            </a:ln>
          </c:spPr>
          <c:cat>
            <c:strRef>
              <c:f>Resultados_Sistemas_ACH!$C$23:$F$23</c:f>
              <c:strCache>
                <c:ptCount val="4"/>
                <c:pt idx="0">
                  <c:v>Becarios</c:v>
                </c:pt>
                <c:pt idx="1">
                  <c:v>Apoyo a Investigaciones</c:v>
                </c:pt>
                <c:pt idx="2">
                  <c:v>Proyectos de Investigación</c:v>
                </c:pt>
                <c:pt idx="3">
                  <c:v>TOTAL ECAP</c:v>
                </c:pt>
              </c:strCache>
            </c:strRef>
          </c:cat>
          <c:val>
            <c:numRef>
              <c:f>Resultados_Sistemas_ACH!$C$39:$F$39</c:f>
              <c:numCache>
                <c:formatCode>General</c:formatCode>
                <c:ptCount val="4"/>
                <c:pt idx="0">
                  <c:v>0</c:v>
                </c:pt>
                <c:pt idx="1">
                  <c:v>0</c:v>
                </c:pt>
                <c:pt idx="2">
                  <c:v>1</c:v>
                </c:pt>
                <c:pt idx="3">
                  <c:v>1</c:v>
                </c:pt>
              </c:numCache>
            </c:numRef>
          </c:val>
        </c:ser>
        <c:ser>
          <c:idx val="16"/>
          <c:order val="16"/>
          <c:tx>
            <c:strRef>
              <c:f>Resultados_Sistemas_ACH!$B$40</c:f>
              <c:strCache>
                <c:ptCount val="1"/>
                <c:pt idx="0">
                  <c:v>OTROS</c:v>
                </c:pt>
              </c:strCache>
            </c:strRef>
          </c:tx>
          <c:spPr>
            <a:pattFill xmlns:a="http://schemas.openxmlformats.org/drawingml/2006/main" prst="narHorz">
              <a:fgClr>
                <a:schemeClr val="accent5">
                  <a:lumMod val="80000"/>
                  <a:lumOff val="20000"/>
                </a:schemeClr>
              </a:fgClr>
              <a:bgClr>
                <a:schemeClr val="accent5">
                  <a:lumMod val="80000"/>
                  <a:lumOff val="20000"/>
                </a:schemeClr>
              </a:bgClr>
            </a:pattFill>
            <a:ln xmlns:a="http://schemas.openxmlformats.org/drawingml/2006/main">
              <a:noFill/>
            </a:ln>
          </c:spPr>
          <c:cat>
            <c:strRef>
              <c:f>Resultados_Sistemas_ACH!$C$23:$F$23</c:f>
              <c:strCache>
                <c:ptCount val="4"/>
                <c:pt idx="0">
                  <c:v>Becarios</c:v>
                </c:pt>
                <c:pt idx="1">
                  <c:v>Apoyo a Investigaciones</c:v>
                </c:pt>
                <c:pt idx="2">
                  <c:v>Proyectos de Investigación</c:v>
                </c:pt>
                <c:pt idx="3">
                  <c:v>TOTAL ECAP</c:v>
                </c:pt>
              </c:strCache>
            </c:strRef>
          </c:cat>
          <c:val>
            <c:numRef>
              <c:f>Resultados_Sistemas_ACH!$C$40:$F$40</c:f>
              <c:numCache>
                <c:formatCode>General</c:formatCode>
                <c:ptCount val="4"/>
                <c:pt idx="0">
                  <c:v>0</c:v>
                </c:pt>
                <c:pt idx="1">
                  <c:v>2</c:v>
                </c:pt>
                <c:pt idx="2">
                  <c:v>4</c:v>
                </c:pt>
                <c:pt idx="3">
                  <c:v>6</c:v>
                </c:pt>
              </c:numCache>
            </c:numRef>
          </c:val>
        </c:ser>
        <c:dLbls>
          <c:showLegendKey val="0"/>
          <c:showVal val="0"/>
          <c:showCatName val="0"/>
          <c:showSerName val="0"/>
          <c:showPercent val="0"/>
          <c:showBubbleSize val="0"/>
        </c:dLbls>
        <c:gapWidth val="164"/>
        <c:overlap val="-22"/>
        <c:axId val="450039600"/>
        <c:axId val="450040776"/>
      </c:barChart>
      <c:catAx>
        <c:axId val="450039600"/>
        <c:scaling>
          <c:orientation val="minMax"/>
        </c:scaling>
        <c:delete val="0"/>
        <c:axPos val="b"/>
        <c:numFmt formatCode="General" sourceLinked="1"/>
        <c:majorTickMark val="none"/>
        <c:minorTickMark val="none"/>
        <c:tickLblPos val="nextTo"/>
        <c:spPr>
          <a:ln xmlns:a="http://schemas.openxmlformats.org/drawingml/2006/main" w="19050" cmpd="sng">
            <a:solidFill>
              <a:schemeClr val="tx1">
                <a:lumMod val="25000"/>
                <a:lumOff val="75000"/>
              </a:schemeClr>
            </a:solidFill>
          </a:ln>
        </c:spPr>
        <c:txPr>
          <a:bodyPr xmlns:a="http://schemas.openxmlformats.org/drawingml/2006/main" rot="-60000000" spcFirstLastPara="1" vert="horz" wrap="square" anchor="ctr" anchorCtr="1"/>
          <a:lstStyle xmlns:a="http://schemas.openxmlformats.org/drawingml/2006/main"/>
          <a:p xmlns:a="http://schemas.openxmlformats.org/drawingml/2006/main">
            <a:pPr>
              <a:defRPr sz="900" b="0" i="0" u="none">
                <a:solidFill>
                  <a:schemeClr val="tx1">
                    <a:lumMod val="65000"/>
                    <a:lumOff val="35000"/>
                  </a:schemeClr>
                </a:solidFill>
                <a:latin typeface="+mn-lt"/>
                <a:ea typeface="+mn-lt"/>
                <a:cs typeface="+mn-lt"/>
              </a:defRPr>
            </a:pPr>
          </a:p>
        </c:txPr>
        <c:crossAx val="450040776"/>
        <c:crosses val="autoZero"/>
        <c:lblOffset val="100"/>
      </c:catAx>
      <c:valAx>
        <c:axId val="450040776"/>
        <c:scaling>
          <c:orientation val="minMax"/>
        </c:scaling>
        <c:delete val="0"/>
        <c:axPos val="l"/>
        <c:numFmt formatCode="General" sourceLinked="1"/>
        <c:majorTickMark val="none"/>
        <c:minorTickMark val="none"/>
        <c:tickLblPos val="nextTo"/>
        <c:spPr>
          <a:ln xmlns:a="http://schemas.openxmlformats.org/drawingml/2006/main">
            <a:noFill/>
          </a:ln>
        </c:spPr>
        <c:txPr>
          <a:bodyPr xmlns:a="http://schemas.openxmlformats.org/drawingml/2006/main" rot="-60000000" vert="horz" anchor="ctr" anchorCtr="1"/>
          <a:lstStyle xmlns:a="http://schemas.openxmlformats.org/drawingml/2006/main"/>
          <a:p xmlns:a="http://schemas.openxmlformats.org/drawingml/2006/main">
            <a:pPr>
              <a:defRPr sz="900" b="0" i="0" u="none">
                <a:solidFill>
                  <a:schemeClr val="tx1">
                    <a:lumMod val="65000"/>
                    <a:lumOff val="35000"/>
                  </a:schemeClr>
                </a:solidFill>
                <a:latin typeface="+mn-lt"/>
                <a:ea typeface="+mn-lt"/>
                <a:cs typeface="+mn-lt"/>
              </a:defRPr>
            </a:pPr>
          </a:p>
        </c:txPr>
        <c:crossAx val="450039600"/>
        <c:crosses val="autoZero"/>
        <c:crossBetween val="between"/>
      </c:valAx>
      <c:spPr>
        <a:noFill xmlns:a="http://schemas.openxmlformats.org/drawingml/2006/main"/>
        <a:ln xmlns:a="http://schemas.openxmlformats.org/drawingml/2006/main">
          <a:noFill/>
        </a:ln>
      </c:spPr>
    </c:plotArea>
    <c:legend>
      <c:legendPos val="r"/>
      <c:layout>
        <c:manualLayout>
          <c:xMode val="edge"/>
          <c:yMode val="edge"/>
          <c:x val="0.7853226159230097"/>
          <c:y val="0.1383089093030038"/>
          <c:w val="0.19801071741032372"/>
          <c:h val="0.8210210702828813"/>
        </c:manualLayout>
      </c:layout>
      <c:overlay val="0"/>
      <c:spPr>
        <a:noFill xmlns:a="http://schemas.openxmlformats.org/drawingml/2006/main"/>
      </c:spPr>
      <c:txPr>
        <a:bodyPr xmlns:a="http://schemas.openxmlformats.org/drawingml/2006/main" rot="0" vert="horz" anchor="ctr" anchorCtr="1"/>
        <a:lstStyle xmlns:a="http://schemas.openxmlformats.org/drawingml/2006/main"/>
        <a:p xmlns:a="http://schemas.openxmlformats.org/drawingml/2006/main">
          <a:pPr>
            <a:defRPr sz="800" b="0" i="0" u="none">
              <a:solidFill>
                <a:schemeClr val="tx1">
                  <a:lumMod val="65000"/>
                  <a:lumOff val="35000"/>
                </a:schemeClr>
              </a:solidFill>
              <a:latin typeface="+mn-lt"/>
              <a:ea typeface="+mn-lt"/>
              <a:cs typeface="+mn-lt"/>
            </a:defRPr>
          </a:pPr>
        </a:p>
      </c:txPr>
    </c:legend>
    <c:plotVisOnly val="1"/>
  </c:chart>
  <c:spPr>
    <a:solidFill xmlns:a="http://schemas.openxmlformats.org/drawingml/2006/main">
      <a:schemeClr val="bg1"/>
    </a:solidFill>
    <a:ln xmlns:a="http://schemas.openxmlformats.org/drawingml/2006/main" w="9525" cmpd="sng">
      <a:solidFill>
        <a:schemeClr val="tx1">
          <a:lumMod val="15000"/>
          <a:lumOff val="85000"/>
        </a:schemeClr>
      </a:solidFill>
    </a:ln>
  </c:spPr>
</c:chartSpace>
</file>

<file path=xl/drawings/charts/chart7.xml><?xml version="1.0" encoding="utf-8"?>
<c:chartSpace xmlns:mc="http://schemas.openxmlformats.org/markup-compatibility/2006" xmlns:c14="http://schemas.microsoft.com/office/drawing/2007/8/2/chart" xmlns:c="http://schemas.openxmlformats.org/drawingml/2006/chart" mc:Ignorable="c14">
  <c:lang val="en-US"/>
  <c:roundedCorners val="0"/>
  <mc:AlternateContent>
    <mc:Choice Requires="c14">
      <c14:style val="102"/>
    </mc:Choice>
    <mc:Fallback>
      <c:style val="2"/>
    </mc:Fallback>
  </mc:AlternateContent>
  <c:chart>
    <c:title>
      <c:tx>
        <c:rich>
          <a:bodyPr xmlns:a="http://schemas.openxmlformats.org/drawingml/2006/main"/>
          <a:lstStyle xmlns:a="http://schemas.openxmlformats.org/drawingml/2006/main"/>
          <a:p xmlns:a="http://schemas.openxmlformats.org/drawingml/2006/main">
            <a:r>
              <a:rPr sz="1400" b="1" i="0" u="none" cap="all" spc="150">
                <a:solidFill>
                  <a:schemeClr val="tx1"/>
                </a:solidFill>
                <a:latin typeface="+mn-lt"/>
                <a:ea typeface="+mn-lt"/>
                <a:cs typeface="+mn-lt"/>
              </a:rPr>
              <a:t>ESTUDIOS ECAP POR INSTITUCIÓN ACADÉMICA DE COLABORACIÓN</a:t>
            </a:r>
          </a:p>
        </c:rich>
      </c:tx>
      <c:layout>
        <c:manualLayout>
          <c:xMode val="edge"/>
          <c:yMode val="edge"/>
          <c:x val="0.12631233595800526"/>
          <c:y val="0.013888888888888888"/>
        </c:manualLayout>
      </c:layout>
      <c:overlay val="0"/>
      <c:txPr>
        <a:bodyPr xmlns:a="http://schemas.openxmlformats.org/drawingml/2006/main" rot="0" vert="horz" anchor="ctr" anchorCtr="1"/>
        <a:lstStyle xmlns:a="http://schemas.openxmlformats.org/drawingml/2006/main"/>
        <a:p xmlns:a="http://schemas.openxmlformats.org/drawingml/2006/main">
          <a:pPr>
            <a:defRPr sz="1400" b="1" i="0" u="none" cap="all" spc="150">
              <a:solidFill>
                <a:schemeClr val="tx1"/>
              </a:solidFill>
              <a:latin typeface="+mn-lt"/>
              <a:ea typeface="+mn-lt"/>
              <a:cs typeface="+mn-lt"/>
            </a:defRPr>
          </a:pPr>
        </a:p>
      </c:txPr>
    </c:title>
    <c:autoTitleDeleted val="0"/>
    <c:plotArea>
      <c:barChart>
        <c:barDir val="col"/>
        <c:grouping val="clustered"/>
        <c:varyColors val="0"/>
        <c:ser>
          <c:idx val="0"/>
          <c:order val="0"/>
          <c:tx>
            <c:strRef>
              <c:f>Resultados_Sistemas_ACH!$B$24</c:f>
              <c:strCache>
                <c:ptCount val="1"/>
                <c:pt idx="0">
                  <c:v>EPN</c:v>
                </c:pt>
              </c:strCache>
            </c:strRef>
          </c:tx>
          <c:spPr>
            <a:pattFill xmlns:a="http://schemas.openxmlformats.org/drawingml/2006/main" prst="narHorz">
              <a:fgClr>
                <a:schemeClr val="accent1"/>
              </a:fgClr>
              <a:bgClr>
                <a:schemeClr val="accent1">
                  <a:lumMod val="20000"/>
                  <a:lumOff val="80000"/>
                </a:schemeClr>
              </a:bgClr>
            </a:pattFill>
            <a:ln xmlns:a="http://schemas.openxmlformats.org/drawingml/2006/main">
              <a:noFill/>
            </a:ln>
          </c:spPr>
          <c:cat>
            <c:strRef>
              <c:f>Resultados_Sistemas_ACH!$G$23:$J$23</c:f>
              <c:strCache>
                <c:ptCount val="4"/>
                <c:pt idx="0">
                  <c:v>Becarios (%)</c:v>
                </c:pt>
                <c:pt idx="1">
                  <c:v>Apoyo a Investigaciones (%)</c:v>
                </c:pt>
                <c:pt idx="2">
                  <c:v>Proyectos de Investigación (%)</c:v>
                </c:pt>
                <c:pt idx="3">
                  <c:v>TOTAL ECAP (%)</c:v>
                </c:pt>
              </c:strCache>
            </c:strRef>
          </c:cat>
          <c:val>
            <c:numRef>
              <c:f>Resultados_Sistemas_ACH!$G$24:$J$24</c:f>
              <c:numCache>
                <c:formatCode>0</c:formatCode>
                <c:ptCount val="4"/>
                <c:pt idx="0">
                  <c:v>20</c:v>
                </c:pt>
                <c:pt idx="1">
                  <c:v>54.285714285714285</c:v>
                </c:pt>
                <c:pt idx="2">
                  <c:v>16.666666666666664</c:v>
                </c:pt>
                <c:pt idx="3">
                  <c:v>36.11111111111111</c:v>
                </c:pt>
              </c:numCache>
            </c:numRef>
          </c:val>
        </c:ser>
        <c:ser>
          <c:idx val="1"/>
          <c:order val="1"/>
          <c:tx>
            <c:strRef>
              <c:f>Resultados_Sistemas_ACH!$B$25</c:f>
              <c:strCache>
                <c:ptCount val="1"/>
                <c:pt idx="0">
                  <c:v>UTC</c:v>
                </c:pt>
              </c:strCache>
            </c:strRef>
          </c:tx>
          <c:spPr>
            <a:pattFill xmlns:a="http://schemas.openxmlformats.org/drawingml/2006/main" prst="narHorz">
              <a:fgClr>
                <a:schemeClr val="accent2"/>
              </a:fgClr>
              <a:bgClr>
                <a:schemeClr val="accent2">
                  <a:lumMod val="20000"/>
                  <a:lumOff val="80000"/>
                </a:schemeClr>
              </a:bgClr>
            </a:pattFill>
            <a:ln xmlns:a="http://schemas.openxmlformats.org/drawingml/2006/main">
              <a:noFill/>
            </a:ln>
          </c:spPr>
          <c:cat>
            <c:strRef>
              <c:f>Resultados_Sistemas_ACH!$G$23:$J$23</c:f>
              <c:strCache>
                <c:ptCount val="4"/>
                <c:pt idx="0">
                  <c:v>Becarios (%)</c:v>
                </c:pt>
                <c:pt idx="1">
                  <c:v>Apoyo a Investigaciones (%)</c:v>
                </c:pt>
                <c:pt idx="2">
                  <c:v>Proyectos de Investigación (%)</c:v>
                </c:pt>
                <c:pt idx="3">
                  <c:v>TOTAL ECAP (%)</c:v>
                </c:pt>
              </c:strCache>
            </c:strRef>
          </c:cat>
          <c:val>
            <c:numRef>
              <c:f>Resultados_Sistemas_ACH!$G$25:$J$25</c:f>
              <c:numCache>
                <c:formatCode>0</c:formatCode>
                <c:ptCount val="4"/>
                <c:pt idx="0">
                  <c:v>0</c:v>
                </c:pt>
                <c:pt idx="1">
                  <c:v>2.857142857142857</c:v>
                </c:pt>
                <c:pt idx="2">
                  <c:v>0</c:v>
                </c:pt>
                <c:pt idx="3">
                  <c:v>1.3888888888888888</c:v>
                </c:pt>
              </c:numCache>
            </c:numRef>
          </c:val>
        </c:ser>
        <c:ser>
          <c:idx val="2"/>
          <c:order val="2"/>
          <c:tx>
            <c:strRef>
              <c:f>Resultados_Sistemas_ACH!$B$26</c:f>
              <c:strCache>
                <c:ptCount val="1"/>
                <c:pt idx="0">
                  <c:v>UCE</c:v>
                </c:pt>
              </c:strCache>
            </c:strRef>
          </c:tx>
          <c:spPr>
            <a:pattFill xmlns:a="http://schemas.openxmlformats.org/drawingml/2006/main" prst="narHorz">
              <a:fgClr>
                <a:schemeClr val="accent3"/>
              </a:fgClr>
              <a:bgClr>
                <a:schemeClr val="accent3">
                  <a:lumMod val="20000"/>
                  <a:lumOff val="80000"/>
                </a:schemeClr>
              </a:bgClr>
            </a:pattFill>
            <a:ln xmlns:a="http://schemas.openxmlformats.org/drawingml/2006/main">
              <a:noFill/>
            </a:ln>
          </c:spPr>
          <c:cat>
            <c:strRef>
              <c:f>Resultados_Sistemas_ACH!$G$23:$J$23</c:f>
              <c:strCache>
                <c:ptCount val="4"/>
                <c:pt idx="0">
                  <c:v>Becarios (%)</c:v>
                </c:pt>
                <c:pt idx="1">
                  <c:v>Apoyo a Investigaciones (%)</c:v>
                </c:pt>
                <c:pt idx="2">
                  <c:v>Proyectos de Investigación (%)</c:v>
                </c:pt>
                <c:pt idx="3">
                  <c:v>TOTAL ECAP (%)</c:v>
                </c:pt>
              </c:strCache>
            </c:strRef>
          </c:cat>
          <c:val>
            <c:numRef>
              <c:f>Resultados_Sistemas_ACH!$G$26:$J$26</c:f>
              <c:numCache>
                <c:formatCode>0</c:formatCode>
                <c:ptCount val="4"/>
                <c:pt idx="0">
                  <c:v>4</c:v>
                </c:pt>
                <c:pt idx="1">
                  <c:v>11.428571428571429</c:v>
                </c:pt>
                <c:pt idx="2">
                  <c:v>8.333333333333332</c:v>
                </c:pt>
                <c:pt idx="3">
                  <c:v>8.333333333333332</c:v>
                </c:pt>
              </c:numCache>
            </c:numRef>
          </c:val>
        </c:ser>
        <c:ser>
          <c:idx val="3"/>
          <c:order val="3"/>
          <c:tx>
            <c:strRef>
              <c:f>Resultados_Sistemas_ACH!$B$27</c:f>
              <c:strCache>
                <c:ptCount val="1"/>
                <c:pt idx="0">
                  <c:v>ESPE</c:v>
                </c:pt>
              </c:strCache>
            </c:strRef>
          </c:tx>
          <c:spPr>
            <a:pattFill xmlns:a="http://schemas.openxmlformats.org/drawingml/2006/main" prst="narHorz">
              <a:fgClr>
                <a:schemeClr val="accent4"/>
              </a:fgClr>
              <a:bgClr>
                <a:schemeClr val="accent4">
                  <a:lumMod val="20000"/>
                  <a:lumOff val="80000"/>
                </a:schemeClr>
              </a:bgClr>
            </a:pattFill>
            <a:ln xmlns:a="http://schemas.openxmlformats.org/drawingml/2006/main">
              <a:noFill/>
            </a:ln>
          </c:spPr>
          <c:cat>
            <c:strRef>
              <c:f>Resultados_Sistemas_ACH!$G$23:$J$23</c:f>
              <c:strCache>
                <c:ptCount val="4"/>
                <c:pt idx="0">
                  <c:v>Becarios (%)</c:v>
                </c:pt>
                <c:pt idx="1">
                  <c:v>Apoyo a Investigaciones (%)</c:v>
                </c:pt>
                <c:pt idx="2">
                  <c:v>Proyectos de Investigación (%)</c:v>
                </c:pt>
                <c:pt idx="3">
                  <c:v>TOTAL ECAP (%)</c:v>
                </c:pt>
              </c:strCache>
            </c:strRef>
          </c:cat>
          <c:val>
            <c:numRef>
              <c:f>Resultados_Sistemas_ACH!$G$27:$J$27</c:f>
              <c:numCache>
                <c:formatCode>0</c:formatCode>
                <c:ptCount val="4"/>
                <c:pt idx="0">
                  <c:v>4</c:v>
                </c:pt>
                <c:pt idx="1">
                  <c:v>5.714285714285714</c:v>
                </c:pt>
                <c:pt idx="2">
                  <c:v>0</c:v>
                </c:pt>
                <c:pt idx="3">
                  <c:v>4.166666666666666</c:v>
                </c:pt>
              </c:numCache>
            </c:numRef>
          </c:val>
        </c:ser>
        <c:ser>
          <c:idx val="4"/>
          <c:order val="4"/>
          <c:tx>
            <c:strRef>
              <c:f>Resultados_Sistemas_ACH!$B$28</c:f>
              <c:strCache>
                <c:ptCount val="1"/>
                <c:pt idx="0">
                  <c:v>YACHAY</c:v>
                </c:pt>
              </c:strCache>
            </c:strRef>
          </c:tx>
          <c:spPr>
            <a:pattFill xmlns:a="http://schemas.openxmlformats.org/drawingml/2006/main" prst="narHorz">
              <a:fgClr>
                <a:schemeClr val="accent5"/>
              </a:fgClr>
              <a:bgClr>
                <a:schemeClr val="accent5">
                  <a:lumMod val="20000"/>
                  <a:lumOff val="80000"/>
                </a:schemeClr>
              </a:bgClr>
            </a:pattFill>
            <a:ln xmlns:a="http://schemas.openxmlformats.org/drawingml/2006/main">
              <a:noFill/>
            </a:ln>
          </c:spPr>
          <c:cat>
            <c:strRef>
              <c:f>Resultados_Sistemas_ACH!$G$23:$J$23</c:f>
              <c:strCache>
                <c:ptCount val="4"/>
                <c:pt idx="0">
                  <c:v>Becarios (%)</c:v>
                </c:pt>
                <c:pt idx="1">
                  <c:v>Apoyo a Investigaciones (%)</c:v>
                </c:pt>
                <c:pt idx="2">
                  <c:v>Proyectos de Investigación (%)</c:v>
                </c:pt>
                <c:pt idx="3">
                  <c:v>TOTAL ECAP (%)</c:v>
                </c:pt>
              </c:strCache>
            </c:strRef>
          </c:cat>
          <c:val>
            <c:numRef>
              <c:f>Resultados_Sistemas_ACH!$G$28:$J$28</c:f>
              <c:numCache>
                <c:formatCode>0</c:formatCode>
                <c:ptCount val="4"/>
                <c:pt idx="0">
                  <c:v>8</c:v>
                </c:pt>
                <c:pt idx="1">
                  <c:v>2.857142857142857</c:v>
                </c:pt>
                <c:pt idx="2">
                  <c:v>0</c:v>
                </c:pt>
                <c:pt idx="3">
                  <c:v>4.166666666666666</c:v>
                </c:pt>
              </c:numCache>
            </c:numRef>
          </c:val>
        </c:ser>
        <c:ser>
          <c:idx val="5"/>
          <c:order val="5"/>
          <c:tx>
            <c:strRef>
              <c:f>Resultados_Sistemas_ACH!$B$29</c:f>
              <c:strCache>
                <c:ptCount val="1"/>
                <c:pt idx="0">
                  <c:v>PUCE</c:v>
                </c:pt>
              </c:strCache>
            </c:strRef>
          </c:tx>
          <c:spPr>
            <a:pattFill xmlns:a="http://schemas.openxmlformats.org/drawingml/2006/main" prst="narHorz">
              <a:fgClr>
                <a:schemeClr val="accent6"/>
              </a:fgClr>
              <a:bgClr>
                <a:schemeClr val="accent6">
                  <a:lumMod val="20000"/>
                  <a:lumOff val="80000"/>
                </a:schemeClr>
              </a:bgClr>
            </a:pattFill>
            <a:ln xmlns:a="http://schemas.openxmlformats.org/drawingml/2006/main">
              <a:noFill/>
            </a:ln>
          </c:spPr>
          <c:cat>
            <c:strRef>
              <c:f>Resultados_Sistemas_ACH!$G$23:$J$23</c:f>
              <c:strCache>
                <c:ptCount val="4"/>
                <c:pt idx="0">
                  <c:v>Becarios (%)</c:v>
                </c:pt>
                <c:pt idx="1">
                  <c:v>Apoyo a Investigaciones (%)</c:v>
                </c:pt>
                <c:pt idx="2">
                  <c:v>Proyectos de Investigación (%)</c:v>
                </c:pt>
                <c:pt idx="3">
                  <c:v>TOTAL ECAP (%)</c:v>
                </c:pt>
              </c:strCache>
            </c:strRef>
          </c:cat>
          <c:val>
            <c:numRef>
              <c:f>Resultados_Sistemas_ACH!$G$29:$J$29</c:f>
              <c:numCache>
                <c:formatCode>0</c:formatCode>
                <c:ptCount val="4"/>
                <c:pt idx="0">
                  <c:v>16</c:v>
                </c:pt>
                <c:pt idx="1">
                  <c:v>14.285714285714285</c:v>
                </c:pt>
                <c:pt idx="2">
                  <c:v>8.333333333333332</c:v>
                </c:pt>
                <c:pt idx="3">
                  <c:v>13.88888888888889</c:v>
                </c:pt>
              </c:numCache>
            </c:numRef>
          </c:val>
        </c:ser>
        <c:ser>
          <c:idx val="6"/>
          <c:order val="6"/>
          <c:tx>
            <c:strRef>
              <c:f>Resultados_Sistemas_ACH!$B$30</c:f>
              <c:strCache>
                <c:ptCount val="1"/>
                <c:pt idx="0">
                  <c:v>UTE</c:v>
                </c:pt>
              </c:strCache>
            </c:strRef>
          </c:tx>
          <c:spPr>
            <a:pattFill xmlns:a="http://schemas.openxmlformats.org/drawingml/2006/main" prst="narHorz">
              <a:fgClr>
                <a:schemeClr val="accent1">
                  <a:lumMod val="60000"/>
                </a:schemeClr>
              </a:fgClr>
              <a:bgClr>
                <a:schemeClr val="accent1">
                  <a:lumMod val="60000"/>
                  <a:lumOff val="80000"/>
                </a:schemeClr>
              </a:bgClr>
            </a:pattFill>
            <a:ln xmlns:a="http://schemas.openxmlformats.org/drawingml/2006/main">
              <a:noFill/>
            </a:ln>
          </c:spPr>
          <c:cat>
            <c:strRef>
              <c:f>Resultados_Sistemas_ACH!$G$23:$J$23</c:f>
              <c:strCache>
                <c:ptCount val="4"/>
                <c:pt idx="0">
                  <c:v>Becarios (%)</c:v>
                </c:pt>
                <c:pt idx="1">
                  <c:v>Apoyo a Investigaciones (%)</c:v>
                </c:pt>
                <c:pt idx="2">
                  <c:v>Proyectos de Investigación (%)</c:v>
                </c:pt>
                <c:pt idx="3">
                  <c:v>TOTAL ECAP (%)</c:v>
                </c:pt>
              </c:strCache>
            </c:strRef>
          </c:cat>
          <c:val>
            <c:numRef>
              <c:f>Resultados_Sistemas_ACH!$G$30:$J$30</c:f>
              <c:numCache>
                <c:formatCode>0</c:formatCode>
                <c:ptCount val="4"/>
                <c:pt idx="0">
                  <c:v>0</c:v>
                </c:pt>
                <c:pt idx="1">
                  <c:v>2.857142857142857</c:v>
                </c:pt>
                <c:pt idx="2">
                  <c:v>0</c:v>
                </c:pt>
                <c:pt idx="3">
                  <c:v>1.3888888888888888</c:v>
                </c:pt>
              </c:numCache>
            </c:numRef>
          </c:val>
        </c:ser>
        <c:ser>
          <c:idx val="7"/>
          <c:order val="7"/>
          <c:tx>
            <c:strRef>
              <c:f>Resultados_Sistemas_ACH!$B$31</c:f>
              <c:strCache>
                <c:ptCount val="1"/>
                <c:pt idx="0">
                  <c:v>SEK</c:v>
                </c:pt>
              </c:strCache>
            </c:strRef>
          </c:tx>
          <c:spPr>
            <a:pattFill xmlns:a="http://schemas.openxmlformats.org/drawingml/2006/main" prst="narHorz">
              <a:fgClr>
                <a:schemeClr val="accent2">
                  <a:lumMod val="60000"/>
                </a:schemeClr>
              </a:fgClr>
              <a:bgClr>
                <a:schemeClr val="accent2">
                  <a:lumMod val="60000"/>
                  <a:lumOff val="80000"/>
                </a:schemeClr>
              </a:bgClr>
            </a:pattFill>
            <a:ln xmlns:a="http://schemas.openxmlformats.org/drawingml/2006/main">
              <a:noFill/>
            </a:ln>
          </c:spPr>
          <c:cat>
            <c:strRef>
              <c:f>Resultados_Sistemas_ACH!$G$23:$J$23</c:f>
              <c:strCache>
                <c:ptCount val="4"/>
                <c:pt idx="0">
                  <c:v>Becarios (%)</c:v>
                </c:pt>
                <c:pt idx="1">
                  <c:v>Apoyo a Investigaciones (%)</c:v>
                </c:pt>
                <c:pt idx="2">
                  <c:v>Proyectos de Investigación (%)</c:v>
                </c:pt>
                <c:pt idx="3">
                  <c:v>TOTAL ECAP (%)</c:v>
                </c:pt>
              </c:strCache>
            </c:strRef>
          </c:cat>
          <c:val>
            <c:numRef>
              <c:f>Resultados_Sistemas_ACH!$G$31:$J$31</c:f>
              <c:numCache>
                <c:formatCode>0</c:formatCode>
                <c:ptCount val="4"/>
                <c:pt idx="0">
                  <c:v>4</c:v>
                </c:pt>
                <c:pt idx="1">
                  <c:v>0</c:v>
                </c:pt>
                <c:pt idx="2">
                  <c:v>0</c:v>
                </c:pt>
                <c:pt idx="3">
                  <c:v>1.3888888888888888</c:v>
                </c:pt>
              </c:numCache>
            </c:numRef>
          </c:val>
        </c:ser>
        <c:ser>
          <c:idx val="8"/>
          <c:order val="8"/>
          <c:tx>
            <c:strRef>
              <c:f>Resultados_Sistemas_ACH!$B$32</c:f>
              <c:strCache>
                <c:ptCount val="1"/>
                <c:pt idx="0">
                  <c:v>UIDE</c:v>
                </c:pt>
              </c:strCache>
            </c:strRef>
          </c:tx>
          <c:spPr>
            <a:pattFill xmlns:a="http://schemas.openxmlformats.org/drawingml/2006/main" prst="narHorz">
              <a:fgClr>
                <a:schemeClr val="accent3">
                  <a:lumMod val="60000"/>
                </a:schemeClr>
              </a:fgClr>
              <a:bgClr>
                <a:schemeClr val="accent3">
                  <a:lumMod val="60000"/>
                  <a:lumOff val="80000"/>
                </a:schemeClr>
              </a:bgClr>
            </a:pattFill>
            <a:ln xmlns:a="http://schemas.openxmlformats.org/drawingml/2006/main">
              <a:noFill/>
            </a:ln>
          </c:spPr>
          <c:cat>
            <c:strRef>
              <c:f>Resultados_Sistemas_ACH!$G$23:$J$23</c:f>
              <c:strCache>
                <c:ptCount val="4"/>
                <c:pt idx="0">
                  <c:v>Becarios (%)</c:v>
                </c:pt>
                <c:pt idx="1">
                  <c:v>Apoyo a Investigaciones (%)</c:v>
                </c:pt>
                <c:pt idx="2">
                  <c:v>Proyectos de Investigación (%)</c:v>
                </c:pt>
                <c:pt idx="3">
                  <c:v>TOTAL ECAP (%)</c:v>
                </c:pt>
              </c:strCache>
            </c:strRef>
          </c:cat>
          <c:val>
            <c:numRef>
              <c:f>Resultados_Sistemas_ACH!$G$32:$J$32</c:f>
              <c:numCache>
                <c:formatCode>0</c:formatCode>
                <c:ptCount val="4"/>
                <c:pt idx="0">
                  <c:v>4</c:v>
                </c:pt>
                <c:pt idx="1">
                  <c:v>0</c:v>
                </c:pt>
                <c:pt idx="2">
                  <c:v>0</c:v>
                </c:pt>
                <c:pt idx="3">
                  <c:v>1.3888888888888888</c:v>
                </c:pt>
              </c:numCache>
            </c:numRef>
          </c:val>
        </c:ser>
        <c:ser>
          <c:idx val="9"/>
          <c:order val="9"/>
          <c:tx>
            <c:strRef>
              <c:f>Resultados_Sistemas_ACH!$B$33</c:f>
              <c:strCache>
                <c:ptCount val="1"/>
                <c:pt idx="0">
                  <c:v>UTI</c:v>
                </c:pt>
              </c:strCache>
            </c:strRef>
          </c:tx>
          <c:spPr>
            <a:pattFill xmlns:a="http://schemas.openxmlformats.org/drawingml/2006/main" prst="narHorz">
              <a:fgClr>
                <a:schemeClr val="accent4">
                  <a:lumMod val="60000"/>
                </a:schemeClr>
              </a:fgClr>
              <a:bgClr>
                <a:schemeClr val="accent4">
                  <a:lumMod val="60000"/>
                  <a:lumOff val="80000"/>
                </a:schemeClr>
              </a:bgClr>
            </a:pattFill>
            <a:ln xmlns:a="http://schemas.openxmlformats.org/drawingml/2006/main">
              <a:noFill/>
            </a:ln>
          </c:spPr>
          <c:cat>
            <c:strRef>
              <c:f>Resultados_Sistemas_ACH!$G$23:$J$23</c:f>
              <c:strCache>
                <c:ptCount val="4"/>
                <c:pt idx="0">
                  <c:v>Becarios (%)</c:v>
                </c:pt>
                <c:pt idx="1">
                  <c:v>Apoyo a Investigaciones (%)</c:v>
                </c:pt>
                <c:pt idx="2">
                  <c:v>Proyectos de Investigación (%)</c:v>
                </c:pt>
                <c:pt idx="3">
                  <c:v>TOTAL ECAP (%)</c:v>
                </c:pt>
              </c:strCache>
            </c:strRef>
          </c:cat>
          <c:val>
            <c:numRef>
              <c:f>Resultados_Sistemas_ACH!$G$33:$J$33</c:f>
              <c:numCache>
                <c:formatCode>0</c:formatCode>
                <c:ptCount val="4"/>
                <c:pt idx="0">
                  <c:v>4</c:v>
                </c:pt>
                <c:pt idx="1">
                  <c:v>0</c:v>
                </c:pt>
                <c:pt idx="2">
                  <c:v>0</c:v>
                </c:pt>
                <c:pt idx="3">
                  <c:v>1.3888888888888888</c:v>
                </c:pt>
              </c:numCache>
            </c:numRef>
          </c:val>
        </c:ser>
        <c:ser>
          <c:idx val="10"/>
          <c:order val="10"/>
          <c:tx>
            <c:strRef>
              <c:f>Resultados_Sistemas_ACH!$B$34</c:f>
              <c:strCache>
                <c:ptCount val="1"/>
                <c:pt idx="0">
                  <c:v>IKIAM</c:v>
                </c:pt>
              </c:strCache>
            </c:strRef>
          </c:tx>
          <c:spPr>
            <a:pattFill xmlns:a="http://schemas.openxmlformats.org/drawingml/2006/main" prst="narHorz">
              <a:fgClr>
                <a:schemeClr val="accent5">
                  <a:lumMod val="60000"/>
                </a:schemeClr>
              </a:fgClr>
              <a:bgClr>
                <a:schemeClr val="accent5">
                  <a:lumMod val="60000"/>
                  <a:lumOff val="80000"/>
                </a:schemeClr>
              </a:bgClr>
            </a:pattFill>
            <a:ln xmlns:a="http://schemas.openxmlformats.org/drawingml/2006/main">
              <a:noFill/>
            </a:ln>
          </c:spPr>
          <c:cat>
            <c:strRef>
              <c:f>Resultados_Sistemas_ACH!$G$23:$J$23</c:f>
              <c:strCache>
                <c:ptCount val="4"/>
                <c:pt idx="0">
                  <c:v>Becarios (%)</c:v>
                </c:pt>
                <c:pt idx="1">
                  <c:v>Apoyo a Investigaciones (%)</c:v>
                </c:pt>
                <c:pt idx="2">
                  <c:v>Proyectos de Investigación (%)</c:v>
                </c:pt>
                <c:pt idx="3">
                  <c:v>TOTAL ECAP (%)</c:v>
                </c:pt>
              </c:strCache>
            </c:strRef>
          </c:cat>
          <c:val>
            <c:numRef>
              <c:f>Resultados_Sistemas_ACH!$G$34:$J$34</c:f>
              <c:numCache>
                <c:formatCode>0</c:formatCode>
                <c:ptCount val="4"/>
                <c:pt idx="0">
                  <c:v>24</c:v>
                </c:pt>
                <c:pt idx="1">
                  <c:v>0</c:v>
                </c:pt>
                <c:pt idx="2">
                  <c:v>0</c:v>
                </c:pt>
                <c:pt idx="3">
                  <c:v>8.333333333333332</c:v>
                </c:pt>
              </c:numCache>
            </c:numRef>
          </c:val>
        </c:ser>
        <c:ser>
          <c:idx val="11"/>
          <c:order val="11"/>
          <c:tx>
            <c:strRef>
              <c:f>Resultados_Sistemas_ACH!$B$35</c:f>
              <c:strCache>
                <c:ptCount val="1"/>
                <c:pt idx="0">
                  <c:v>UTN</c:v>
                </c:pt>
              </c:strCache>
            </c:strRef>
          </c:tx>
          <c:spPr>
            <a:pattFill xmlns:a="http://schemas.openxmlformats.org/drawingml/2006/main" prst="narHorz">
              <a:fgClr>
                <a:schemeClr val="accent6">
                  <a:lumMod val="60000"/>
                </a:schemeClr>
              </a:fgClr>
              <a:bgClr>
                <a:schemeClr val="accent6">
                  <a:lumMod val="60000"/>
                  <a:lumOff val="80000"/>
                </a:schemeClr>
              </a:bgClr>
            </a:pattFill>
            <a:ln xmlns:a="http://schemas.openxmlformats.org/drawingml/2006/main">
              <a:noFill/>
            </a:ln>
          </c:spPr>
          <c:cat>
            <c:strRef>
              <c:f>Resultados_Sistemas_ACH!$G$23:$J$23</c:f>
              <c:strCache>
                <c:ptCount val="4"/>
                <c:pt idx="0">
                  <c:v>Becarios (%)</c:v>
                </c:pt>
                <c:pt idx="1">
                  <c:v>Apoyo a Investigaciones (%)</c:v>
                </c:pt>
                <c:pt idx="2">
                  <c:v>Proyectos de Investigación (%)</c:v>
                </c:pt>
                <c:pt idx="3">
                  <c:v>TOTAL ECAP (%)</c:v>
                </c:pt>
              </c:strCache>
            </c:strRef>
          </c:cat>
          <c:val>
            <c:numRef>
              <c:f>Resultados_Sistemas_ACH!$G$35:$J$35</c:f>
              <c:numCache>
                <c:formatCode>0</c:formatCode>
                <c:ptCount val="4"/>
                <c:pt idx="0">
                  <c:v>4</c:v>
                </c:pt>
                <c:pt idx="1">
                  <c:v>0</c:v>
                </c:pt>
                <c:pt idx="2">
                  <c:v>0</c:v>
                </c:pt>
                <c:pt idx="3">
                  <c:v>1.3888888888888888</c:v>
                </c:pt>
              </c:numCache>
            </c:numRef>
          </c:val>
        </c:ser>
        <c:ser>
          <c:idx val="12"/>
          <c:order val="12"/>
          <c:tx>
            <c:strRef>
              <c:f>Resultados_Sistemas_ACH!$B$36</c:f>
              <c:strCache>
                <c:ptCount val="1"/>
                <c:pt idx="0">
                  <c:v>Ucuenca</c:v>
                </c:pt>
              </c:strCache>
            </c:strRef>
          </c:tx>
          <c:spPr>
            <a:pattFill xmlns:a="http://schemas.openxmlformats.org/drawingml/2006/main" prst="narHorz">
              <a:fgClr>
                <a:schemeClr val="accent1">
                  <a:lumMod val="80000"/>
                  <a:lumOff val="20000"/>
                </a:schemeClr>
              </a:fgClr>
              <a:bgClr>
                <a:schemeClr val="accent1">
                  <a:lumMod val="80000"/>
                  <a:lumOff val="20000"/>
                </a:schemeClr>
              </a:bgClr>
            </a:pattFill>
            <a:ln xmlns:a="http://schemas.openxmlformats.org/drawingml/2006/main">
              <a:noFill/>
            </a:ln>
          </c:spPr>
          <c:cat>
            <c:strRef>
              <c:f>Resultados_Sistemas_ACH!$G$23:$J$23</c:f>
              <c:strCache>
                <c:ptCount val="4"/>
                <c:pt idx="0">
                  <c:v>Becarios (%)</c:v>
                </c:pt>
                <c:pt idx="1">
                  <c:v>Apoyo a Investigaciones (%)</c:v>
                </c:pt>
                <c:pt idx="2">
                  <c:v>Proyectos de Investigación (%)</c:v>
                </c:pt>
                <c:pt idx="3">
                  <c:v>TOTAL ECAP (%)</c:v>
                </c:pt>
              </c:strCache>
            </c:strRef>
          </c:cat>
          <c:val>
            <c:numRef>
              <c:f>Resultados_Sistemas_ACH!$G$36:$J$36</c:f>
              <c:numCache>
                <c:formatCode>0</c:formatCode>
                <c:ptCount val="4"/>
                <c:pt idx="0">
                  <c:v>8</c:v>
                </c:pt>
                <c:pt idx="1">
                  <c:v>0</c:v>
                </c:pt>
                <c:pt idx="2">
                  <c:v>8.333333333333332</c:v>
                </c:pt>
                <c:pt idx="3">
                  <c:v>4.166666666666666</c:v>
                </c:pt>
              </c:numCache>
            </c:numRef>
          </c:val>
        </c:ser>
        <c:ser>
          <c:idx val="13"/>
          <c:order val="13"/>
          <c:tx>
            <c:strRef>
              <c:f>Resultados_Sistemas_ACH!$B$37</c:f>
              <c:strCache>
                <c:ptCount val="1"/>
                <c:pt idx="0">
                  <c:v>Geofísica INIGEM</c:v>
                </c:pt>
              </c:strCache>
            </c:strRef>
          </c:tx>
          <c:spPr>
            <a:pattFill xmlns:a="http://schemas.openxmlformats.org/drawingml/2006/main" prst="narHorz">
              <a:fgClr>
                <a:schemeClr val="accent2">
                  <a:lumMod val="80000"/>
                  <a:lumOff val="20000"/>
                </a:schemeClr>
              </a:fgClr>
              <a:bgClr>
                <a:schemeClr val="accent2">
                  <a:lumMod val="80000"/>
                  <a:lumOff val="20000"/>
                </a:schemeClr>
              </a:bgClr>
            </a:pattFill>
            <a:ln xmlns:a="http://schemas.openxmlformats.org/drawingml/2006/main">
              <a:noFill/>
            </a:ln>
          </c:spPr>
          <c:cat>
            <c:strRef>
              <c:f>Resultados_Sistemas_ACH!$G$23:$J$23</c:f>
              <c:strCache>
                <c:ptCount val="4"/>
                <c:pt idx="0">
                  <c:v>Becarios (%)</c:v>
                </c:pt>
                <c:pt idx="1">
                  <c:v>Apoyo a Investigaciones (%)</c:v>
                </c:pt>
                <c:pt idx="2">
                  <c:v>Proyectos de Investigación (%)</c:v>
                </c:pt>
                <c:pt idx="3">
                  <c:v>TOTAL ECAP (%)</c:v>
                </c:pt>
              </c:strCache>
            </c:strRef>
          </c:cat>
          <c:val>
            <c:numRef>
              <c:f>Resultados_Sistemas_ACH!$G$37:$J$37</c:f>
              <c:numCache>
                <c:formatCode>0</c:formatCode>
                <c:ptCount val="4"/>
                <c:pt idx="0">
                  <c:v>0</c:v>
                </c:pt>
                <c:pt idx="1">
                  <c:v>0</c:v>
                </c:pt>
                <c:pt idx="2">
                  <c:v>8.333333333333332</c:v>
                </c:pt>
                <c:pt idx="3">
                  <c:v>1.3888888888888888</c:v>
                </c:pt>
              </c:numCache>
            </c:numRef>
          </c:val>
        </c:ser>
        <c:ser>
          <c:idx val="14"/>
          <c:order val="14"/>
          <c:tx>
            <c:strRef>
              <c:f>Resultados_Sistemas_ACH!$B$38</c:f>
              <c:strCache>
                <c:ptCount val="1"/>
                <c:pt idx="0">
                  <c:v>UDLA</c:v>
                </c:pt>
              </c:strCache>
            </c:strRef>
          </c:tx>
          <c:spPr>
            <a:pattFill xmlns:a="http://schemas.openxmlformats.org/drawingml/2006/main" prst="narHorz">
              <a:fgClr>
                <a:schemeClr val="accent3">
                  <a:lumMod val="80000"/>
                  <a:lumOff val="20000"/>
                </a:schemeClr>
              </a:fgClr>
              <a:bgClr>
                <a:schemeClr val="accent3">
                  <a:lumMod val="80000"/>
                  <a:lumOff val="20000"/>
                </a:schemeClr>
              </a:bgClr>
            </a:pattFill>
            <a:ln xmlns:a="http://schemas.openxmlformats.org/drawingml/2006/main">
              <a:noFill/>
            </a:ln>
          </c:spPr>
          <c:cat>
            <c:strRef>
              <c:f>Resultados_Sistemas_ACH!$G$23:$J$23</c:f>
              <c:strCache>
                <c:ptCount val="4"/>
                <c:pt idx="0">
                  <c:v>Becarios (%)</c:v>
                </c:pt>
                <c:pt idx="1">
                  <c:v>Apoyo a Investigaciones (%)</c:v>
                </c:pt>
                <c:pt idx="2">
                  <c:v>Proyectos de Investigación (%)</c:v>
                </c:pt>
                <c:pt idx="3">
                  <c:v>TOTAL ECAP (%)</c:v>
                </c:pt>
              </c:strCache>
            </c:strRef>
          </c:cat>
          <c:val>
            <c:numRef>
              <c:f>Resultados_Sistemas_ACH!$G$38:$J$38</c:f>
              <c:numCache>
                <c:formatCode>0</c:formatCode>
                <c:ptCount val="4"/>
                <c:pt idx="0">
                  <c:v>0</c:v>
                </c:pt>
                <c:pt idx="1">
                  <c:v>0</c:v>
                </c:pt>
                <c:pt idx="2">
                  <c:v>8.333333333333332</c:v>
                </c:pt>
                <c:pt idx="3">
                  <c:v>1.3888888888888888</c:v>
                </c:pt>
              </c:numCache>
            </c:numRef>
          </c:val>
        </c:ser>
        <c:ser>
          <c:idx val="15"/>
          <c:order val="15"/>
          <c:tx>
            <c:strRef>
              <c:f>Resultados_Sistemas_ACH!$B$39</c:f>
              <c:strCache>
                <c:ptCount val="1"/>
                <c:pt idx="0">
                  <c:v>UDA</c:v>
                </c:pt>
              </c:strCache>
            </c:strRef>
          </c:tx>
          <c:spPr>
            <a:pattFill xmlns:a="http://schemas.openxmlformats.org/drawingml/2006/main" prst="narHorz">
              <a:fgClr>
                <a:schemeClr val="accent4">
                  <a:lumMod val="80000"/>
                  <a:lumOff val="20000"/>
                </a:schemeClr>
              </a:fgClr>
              <a:bgClr>
                <a:schemeClr val="accent4">
                  <a:lumMod val="80000"/>
                  <a:lumOff val="20000"/>
                </a:schemeClr>
              </a:bgClr>
            </a:pattFill>
            <a:ln xmlns:a="http://schemas.openxmlformats.org/drawingml/2006/main">
              <a:noFill/>
            </a:ln>
          </c:spPr>
          <c:cat>
            <c:strRef>
              <c:f>Resultados_Sistemas_ACH!$G$23:$J$23</c:f>
              <c:strCache>
                <c:ptCount val="4"/>
                <c:pt idx="0">
                  <c:v>Becarios (%)</c:v>
                </c:pt>
                <c:pt idx="1">
                  <c:v>Apoyo a Investigaciones (%)</c:v>
                </c:pt>
                <c:pt idx="2">
                  <c:v>Proyectos de Investigación (%)</c:v>
                </c:pt>
                <c:pt idx="3">
                  <c:v>TOTAL ECAP (%)</c:v>
                </c:pt>
              </c:strCache>
            </c:strRef>
          </c:cat>
          <c:val>
            <c:numRef>
              <c:f>Resultados_Sistemas_ACH!$G$39:$J$39</c:f>
              <c:numCache>
                <c:formatCode>0</c:formatCode>
                <c:ptCount val="4"/>
                <c:pt idx="0">
                  <c:v>0</c:v>
                </c:pt>
                <c:pt idx="1">
                  <c:v>0</c:v>
                </c:pt>
                <c:pt idx="2">
                  <c:v>8.333333333333332</c:v>
                </c:pt>
                <c:pt idx="3">
                  <c:v>1.3888888888888888</c:v>
                </c:pt>
              </c:numCache>
            </c:numRef>
          </c:val>
        </c:ser>
        <c:ser>
          <c:idx val="16"/>
          <c:order val="16"/>
          <c:tx>
            <c:strRef>
              <c:f>Resultados_Sistemas_ACH!$B$40</c:f>
              <c:strCache>
                <c:ptCount val="1"/>
                <c:pt idx="0">
                  <c:v>OTROS</c:v>
                </c:pt>
              </c:strCache>
            </c:strRef>
          </c:tx>
          <c:spPr>
            <a:pattFill xmlns:a="http://schemas.openxmlformats.org/drawingml/2006/main" prst="narHorz">
              <a:fgClr>
                <a:schemeClr val="accent5">
                  <a:lumMod val="80000"/>
                  <a:lumOff val="20000"/>
                </a:schemeClr>
              </a:fgClr>
              <a:bgClr>
                <a:schemeClr val="accent5">
                  <a:lumMod val="80000"/>
                  <a:lumOff val="20000"/>
                </a:schemeClr>
              </a:bgClr>
            </a:pattFill>
            <a:ln xmlns:a="http://schemas.openxmlformats.org/drawingml/2006/main">
              <a:noFill/>
            </a:ln>
          </c:spPr>
          <c:cat>
            <c:strRef>
              <c:f>Resultados_Sistemas_ACH!$G$23:$J$23</c:f>
              <c:strCache>
                <c:ptCount val="4"/>
                <c:pt idx="0">
                  <c:v>Becarios (%)</c:v>
                </c:pt>
                <c:pt idx="1">
                  <c:v>Apoyo a Investigaciones (%)</c:v>
                </c:pt>
                <c:pt idx="2">
                  <c:v>Proyectos de Investigación (%)</c:v>
                </c:pt>
                <c:pt idx="3">
                  <c:v>TOTAL ECAP (%)</c:v>
                </c:pt>
              </c:strCache>
            </c:strRef>
          </c:cat>
          <c:val>
            <c:numRef>
              <c:f>Resultados_Sistemas_ACH!$G$40:$J$40</c:f>
              <c:numCache>
                <c:formatCode>0</c:formatCode>
                <c:ptCount val="4"/>
                <c:pt idx="0">
                  <c:v>0</c:v>
                </c:pt>
                <c:pt idx="1">
                  <c:v>5.714285714285714</c:v>
                </c:pt>
                <c:pt idx="2">
                  <c:v>33.33333333333333</c:v>
                </c:pt>
                <c:pt idx="3">
                  <c:v>8.333333333333332</c:v>
                </c:pt>
              </c:numCache>
            </c:numRef>
          </c:val>
        </c:ser>
        <c:dLbls>
          <c:showLegendKey val="0"/>
          <c:showVal val="0"/>
          <c:showCatName val="0"/>
          <c:showSerName val="0"/>
          <c:showPercent val="0"/>
          <c:showBubbleSize val="0"/>
        </c:dLbls>
        <c:gapWidth val="164"/>
        <c:overlap val="-22"/>
        <c:axId val="450040384"/>
        <c:axId val="450038424"/>
      </c:barChart>
      <c:catAx>
        <c:axId val="450040384"/>
        <c:scaling>
          <c:orientation val="minMax"/>
        </c:scaling>
        <c:delete val="0"/>
        <c:axPos val="b"/>
        <c:numFmt formatCode="General" sourceLinked="1"/>
        <c:majorTickMark val="none"/>
        <c:minorTickMark val="none"/>
        <c:tickLblPos val="nextTo"/>
        <c:spPr>
          <a:ln xmlns:a="http://schemas.openxmlformats.org/drawingml/2006/main" w="19050" cmpd="sng">
            <a:solidFill>
              <a:schemeClr val="tx1">
                <a:lumMod val="25000"/>
                <a:lumOff val="75000"/>
              </a:schemeClr>
            </a:solidFill>
          </a:ln>
        </c:spPr>
        <c:txPr>
          <a:bodyPr xmlns:a="http://schemas.openxmlformats.org/drawingml/2006/main" rot="-60000000" spcFirstLastPara="1" vert="horz" wrap="square" anchor="ctr" anchorCtr="1"/>
          <a:lstStyle xmlns:a="http://schemas.openxmlformats.org/drawingml/2006/main"/>
          <a:p xmlns:a="http://schemas.openxmlformats.org/drawingml/2006/main">
            <a:pPr>
              <a:defRPr sz="900" b="0" i="0" u="none">
                <a:solidFill>
                  <a:schemeClr val="tx1">
                    <a:lumMod val="65000"/>
                    <a:lumOff val="35000"/>
                  </a:schemeClr>
                </a:solidFill>
                <a:latin typeface="+mn-lt"/>
                <a:ea typeface="+mn-lt"/>
                <a:cs typeface="+mn-lt"/>
              </a:defRPr>
            </a:pPr>
          </a:p>
        </c:txPr>
        <c:crossAx val="450038424"/>
        <c:crosses val="autoZero"/>
        <c:lblOffset val="100"/>
      </c:catAx>
      <c:valAx>
        <c:axId val="450038424"/>
        <c:scaling>
          <c:orientation val="minMax"/>
        </c:scaling>
        <c:delete val="0"/>
        <c:axPos val="l"/>
        <c:numFmt formatCode="0" sourceLinked="1"/>
        <c:majorTickMark val="none"/>
        <c:minorTickMark val="none"/>
        <c:tickLblPos val="nextTo"/>
        <c:spPr>
          <a:ln xmlns:a="http://schemas.openxmlformats.org/drawingml/2006/main">
            <a:noFill/>
          </a:ln>
        </c:spPr>
        <c:txPr>
          <a:bodyPr xmlns:a="http://schemas.openxmlformats.org/drawingml/2006/main" rot="-60000000" vert="horz" anchor="ctr" anchorCtr="1"/>
          <a:lstStyle xmlns:a="http://schemas.openxmlformats.org/drawingml/2006/main"/>
          <a:p xmlns:a="http://schemas.openxmlformats.org/drawingml/2006/main">
            <a:pPr>
              <a:defRPr sz="900" b="0" i="0" u="none">
                <a:solidFill>
                  <a:schemeClr val="tx1">
                    <a:lumMod val="65000"/>
                    <a:lumOff val="35000"/>
                  </a:schemeClr>
                </a:solidFill>
                <a:latin typeface="+mn-lt"/>
                <a:ea typeface="+mn-lt"/>
                <a:cs typeface="+mn-lt"/>
              </a:defRPr>
            </a:pPr>
          </a:p>
        </c:txPr>
        <c:crossAx val="450040384"/>
        <c:crosses val="autoZero"/>
        <c:crossBetween val="between"/>
      </c:valAx>
      <c:spPr>
        <a:noFill xmlns:a="http://schemas.openxmlformats.org/drawingml/2006/main"/>
        <a:ln xmlns:a="http://schemas.openxmlformats.org/drawingml/2006/main">
          <a:noFill/>
        </a:ln>
      </c:spPr>
    </c:plotArea>
    <c:legend>
      <c:legendPos val="r"/>
      <c:layout>
        <c:manualLayout>
          <c:xMode val="edge"/>
          <c:yMode val="edge"/>
          <c:x val="0.7853226159230097"/>
          <c:y val="0.1383089093030038"/>
          <c:w val="0.19801071741032372"/>
          <c:h val="0.8210210702828813"/>
        </c:manualLayout>
      </c:layout>
      <c:overlay val="0"/>
      <c:spPr>
        <a:noFill xmlns:a="http://schemas.openxmlformats.org/drawingml/2006/main"/>
      </c:spPr>
      <c:txPr>
        <a:bodyPr xmlns:a="http://schemas.openxmlformats.org/drawingml/2006/main" rot="0" vert="horz" anchor="ctr" anchorCtr="1"/>
        <a:lstStyle xmlns:a="http://schemas.openxmlformats.org/drawingml/2006/main"/>
        <a:p xmlns:a="http://schemas.openxmlformats.org/drawingml/2006/main">
          <a:pPr>
            <a:defRPr sz="800" b="0" i="0" u="none">
              <a:solidFill>
                <a:schemeClr val="tx1">
                  <a:lumMod val="65000"/>
                  <a:lumOff val="35000"/>
                </a:schemeClr>
              </a:solidFill>
              <a:latin typeface="+mn-lt"/>
              <a:ea typeface="+mn-lt"/>
              <a:cs typeface="+mn-lt"/>
            </a:defRPr>
          </a:pPr>
        </a:p>
      </c:txPr>
    </c:legend>
    <c:plotVisOnly val="1"/>
  </c:chart>
  <c:spPr>
    <a:solidFill xmlns:a="http://schemas.openxmlformats.org/drawingml/2006/main">
      <a:schemeClr val="bg1"/>
    </a:solidFill>
    <a:ln xmlns:a="http://schemas.openxmlformats.org/drawingml/2006/main" w="9525" cmpd="sng">
      <a:solidFill>
        <a:schemeClr val="tx1">
          <a:lumMod val="15000"/>
          <a:lumOff val="85000"/>
        </a:schemeClr>
      </a:solidFill>
    </a:ln>
  </c:spPr>
</c:chartSpace>
</file>

<file path=xl/drawings/charts/chart8.xml><?xml version="1.0" encoding="utf-8"?>
<c:chartSpace xmlns:mc="http://schemas.openxmlformats.org/markup-compatibility/2006" xmlns:c14="http://schemas.microsoft.com/office/drawing/2007/8/2/chart" xmlns:c="http://schemas.openxmlformats.org/drawingml/2006/chart" mc:Ignorable="c14">
  <c:lang val="en-US"/>
  <c:roundedCorners val="0"/>
  <mc:AlternateContent>
    <mc:Choice Requires="c14">
      <c14:style val="102"/>
    </mc:Choice>
    <mc:Fallback>
      <c:style val="2"/>
    </mc:Fallback>
  </mc:AlternateContent>
  <c:chart>
    <c:title>
      <c:tx>
        <c:rich>
          <a:bodyPr xmlns:a="http://schemas.openxmlformats.org/drawingml/2006/main"/>
          <a:lstStyle xmlns:a="http://schemas.openxmlformats.org/drawingml/2006/main"/>
          <a:p xmlns:a="http://schemas.openxmlformats.org/drawingml/2006/main">
            <a:r>
              <a:rPr sz="1400" b="1" i="0" u="none" cap="all" spc="150">
                <a:solidFill>
                  <a:schemeClr val="tx1"/>
                </a:solidFill>
                <a:latin typeface="+mn-lt"/>
                <a:ea typeface="+mn-lt"/>
                <a:cs typeface="+mn-lt"/>
              </a:rPr>
              <a:t>ESTUDIOS ECAP POR ÁREAS DE CONSERVACIÓN HÍDRICA</a:t>
            </a:r>
          </a:p>
        </c:rich>
      </c:tx>
      <c:overlay val="0"/>
      <c:txPr>
        <a:bodyPr xmlns:a="http://schemas.openxmlformats.org/drawingml/2006/main" rot="0" vert="horz" anchor="ctr" anchorCtr="1"/>
        <a:lstStyle xmlns:a="http://schemas.openxmlformats.org/drawingml/2006/main"/>
        <a:p xmlns:a="http://schemas.openxmlformats.org/drawingml/2006/main">
          <a:pPr>
            <a:defRPr sz="1400" b="1" i="0" u="none" cap="all" spc="150">
              <a:solidFill>
                <a:schemeClr val="tx1"/>
              </a:solidFill>
              <a:latin typeface="+mn-lt"/>
              <a:ea typeface="+mn-lt"/>
              <a:cs typeface="+mn-lt"/>
            </a:defRPr>
          </a:pPr>
        </a:p>
      </c:txPr>
    </c:title>
    <c:autoTitleDeleted val="0"/>
    <c:plotArea>
      <c:barChart>
        <c:barDir val="col"/>
        <c:grouping val="clustered"/>
        <c:varyColors val="0"/>
        <c:ser>
          <c:idx val="0"/>
          <c:order val="0"/>
          <c:tx>
            <c:strRef>
              <c:f>Resultados_Sistemas_ACH!$B$4</c:f>
              <c:strCache>
                <c:ptCount val="1"/>
                <c:pt idx="0">
                  <c:v>Paluguillo</c:v>
                </c:pt>
              </c:strCache>
            </c:strRef>
          </c:tx>
          <c:spPr>
            <a:pattFill xmlns:a="http://schemas.openxmlformats.org/drawingml/2006/main" prst="narHorz">
              <a:fgClr>
                <a:schemeClr val="accent1"/>
              </a:fgClr>
              <a:bgClr>
                <a:schemeClr val="accent1">
                  <a:lumMod val="20000"/>
                  <a:lumOff val="80000"/>
                </a:schemeClr>
              </a:bgClr>
            </a:pattFill>
            <a:ln xmlns:a="http://schemas.openxmlformats.org/drawingml/2006/main">
              <a:noFill/>
            </a:ln>
          </c:spPr>
          <c:cat>
            <c:strRef>
              <c:f>Resultados_Sistemas_ACH!$G$3:$J$3</c:f>
              <c:strCache>
                <c:ptCount val="4"/>
                <c:pt idx="0">
                  <c:v>Becarios (%)</c:v>
                </c:pt>
                <c:pt idx="1">
                  <c:v>Apoyo a Investigaciones (%)</c:v>
                </c:pt>
                <c:pt idx="2">
                  <c:v>Proyectos de Investigación (%)</c:v>
                </c:pt>
                <c:pt idx="3">
                  <c:v>TOTAL ECAP (%)</c:v>
                </c:pt>
              </c:strCache>
            </c:strRef>
          </c:cat>
          <c:val>
            <c:numRef>
              <c:f>Resultados_Sistemas_ACH!$G$4:$J$4</c:f>
              <c:numCache>
                <c:formatCode>0</c:formatCode>
                <c:ptCount val="4"/>
                <c:pt idx="0">
                  <c:v>12</c:v>
                </c:pt>
                <c:pt idx="1">
                  <c:v>18.75</c:v>
                </c:pt>
                <c:pt idx="2">
                  <c:v>0</c:v>
                </c:pt>
                <c:pt idx="3">
                  <c:v>11.76470588235294</c:v>
                </c:pt>
              </c:numCache>
            </c:numRef>
          </c:val>
        </c:ser>
        <c:ser>
          <c:idx val="1"/>
          <c:order val="1"/>
          <c:tx>
            <c:strRef>
              <c:f>Resultados_Sistemas_ACH!$B$5</c:f>
              <c:strCache>
                <c:ptCount val="1"/>
                <c:pt idx="0">
                  <c:v>Antisana</c:v>
                </c:pt>
              </c:strCache>
            </c:strRef>
          </c:tx>
          <c:spPr>
            <a:pattFill xmlns:a="http://schemas.openxmlformats.org/drawingml/2006/main" prst="narHorz">
              <a:fgClr>
                <a:schemeClr val="accent2"/>
              </a:fgClr>
              <a:bgClr>
                <a:schemeClr val="accent2">
                  <a:lumMod val="20000"/>
                  <a:lumOff val="80000"/>
                </a:schemeClr>
              </a:bgClr>
            </a:pattFill>
            <a:ln xmlns:a="http://schemas.openxmlformats.org/drawingml/2006/main">
              <a:noFill/>
            </a:ln>
          </c:spPr>
          <c:cat>
            <c:strRef>
              <c:f>Resultados_Sistemas_ACH!$G$3:$J$3</c:f>
              <c:strCache>
                <c:ptCount val="4"/>
                <c:pt idx="0">
                  <c:v>Becarios (%)</c:v>
                </c:pt>
                <c:pt idx="1">
                  <c:v>Apoyo a Investigaciones (%)</c:v>
                </c:pt>
                <c:pt idx="2">
                  <c:v>Proyectos de Investigación (%)</c:v>
                </c:pt>
                <c:pt idx="3">
                  <c:v>TOTAL ECAP (%)</c:v>
                </c:pt>
              </c:strCache>
            </c:strRef>
          </c:cat>
          <c:val>
            <c:numRef>
              <c:f>Resultados_Sistemas_ACH!$G$5:$J$5</c:f>
              <c:numCache>
                <c:formatCode>0</c:formatCode>
                <c:ptCount val="4"/>
                <c:pt idx="0">
                  <c:v>56.00000000000001</c:v>
                </c:pt>
                <c:pt idx="1">
                  <c:v>68.75</c:v>
                </c:pt>
                <c:pt idx="2">
                  <c:v>90</c:v>
                </c:pt>
                <c:pt idx="3">
                  <c:v>66.66666666666666</c:v>
                </c:pt>
              </c:numCache>
            </c:numRef>
          </c:val>
        </c:ser>
        <c:ser>
          <c:idx val="2"/>
          <c:order val="2"/>
          <c:tx>
            <c:strRef>
              <c:f>Resultados_Sistemas_ACH!$B$6</c:f>
              <c:strCache>
                <c:ptCount val="1"/>
                <c:pt idx="0">
                  <c:v>Alto Pita</c:v>
                </c:pt>
              </c:strCache>
            </c:strRef>
          </c:tx>
          <c:spPr>
            <a:pattFill xmlns:a="http://schemas.openxmlformats.org/drawingml/2006/main" prst="narHorz">
              <a:fgClr>
                <a:schemeClr val="accent3"/>
              </a:fgClr>
              <a:bgClr>
                <a:schemeClr val="accent3">
                  <a:lumMod val="20000"/>
                  <a:lumOff val="80000"/>
                </a:schemeClr>
              </a:bgClr>
            </a:pattFill>
            <a:ln xmlns:a="http://schemas.openxmlformats.org/drawingml/2006/main">
              <a:noFill/>
            </a:ln>
          </c:spPr>
          <c:cat>
            <c:strRef>
              <c:f>Resultados_Sistemas_ACH!$G$3:$J$3</c:f>
              <c:strCache>
                <c:ptCount val="4"/>
                <c:pt idx="0">
                  <c:v>Becarios (%)</c:v>
                </c:pt>
                <c:pt idx="1">
                  <c:v>Apoyo a Investigaciones (%)</c:v>
                </c:pt>
                <c:pt idx="2">
                  <c:v>Proyectos de Investigación (%)</c:v>
                </c:pt>
                <c:pt idx="3">
                  <c:v>TOTAL ECAP (%)</c:v>
                </c:pt>
              </c:strCache>
            </c:strRef>
          </c:cat>
          <c:val>
            <c:numRef>
              <c:f>Resultados_Sistemas_ACH!$G$6:$J$6</c:f>
              <c:numCache>
                <c:formatCode>0</c:formatCode>
                <c:ptCount val="4"/>
                <c:pt idx="0">
                  <c:v>20</c:v>
                </c:pt>
                <c:pt idx="1">
                  <c:v>12.5</c:v>
                </c:pt>
                <c:pt idx="2">
                  <c:v>0</c:v>
                </c:pt>
                <c:pt idx="3">
                  <c:v>13.725490196078432</c:v>
                </c:pt>
              </c:numCache>
            </c:numRef>
          </c:val>
        </c:ser>
        <c:ser>
          <c:idx val="3"/>
          <c:order val="3"/>
          <c:tx>
            <c:strRef>
              <c:f>Resultados_Sistemas_ACH!$B$7</c:f>
              <c:strCache>
                <c:ptCount val="1"/>
                <c:pt idx="0">
                  <c:v>Chalpi</c:v>
                </c:pt>
              </c:strCache>
            </c:strRef>
          </c:tx>
          <c:spPr>
            <a:pattFill xmlns:a="http://schemas.openxmlformats.org/drawingml/2006/main" prst="narHorz">
              <a:fgClr>
                <a:schemeClr val="accent4"/>
              </a:fgClr>
              <a:bgClr>
                <a:schemeClr val="accent4">
                  <a:lumMod val="20000"/>
                  <a:lumOff val="80000"/>
                </a:schemeClr>
              </a:bgClr>
            </a:pattFill>
            <a:ln xmlns:a="http://schemas.openxmlformats.org/drawingml/2006/main">
              <a:noFill/>
            </a:ln>
          </c:spPr>
          <c:cat>
            <c:strRef>
              <c:f>Resultados_Sistemas_ACH!$G$3:$J$3</c:f>
              <c:strCache>
                <c:ptCount val="4"/>
                <c:pt idx="0">
                  <c:v>Becarios (%)</c:v>
                </c:pt>
                <c:pt idx="1">
                  <c:v>Apoyo a Investigaciones (%)</c:v>
                </c:pt>
                <c:pt idx="2">
                  <c:v>Proyectos de Investigación (%)</c:v>
                </c:pt>
                <c:pt idx="3">
                  <c:v>TOTAL ECAP (%)</c:v>
                </c:pt>
              </c:strCache>
            </c:strRef>
          </c:cat>
          <c:val>
            <c:numRef>
              <c:f>Resultados_Sistemas_ACH!$G$7:$J$7</c:f>
              <c:numCache>
                <c:formatCode>0</c:formatCode>
                <c:ptCount val="4"/>
                <c:pt idx="0">
                  <c:v>4</c:v>
                </c:pt>
                <c:pt idx="1">
                  <c:v>0</c:v>
                </c:pt>
                <c:pt idx="2">
                  <c:v>0</c:v>
                </c:pt>
                <c:pt idx="3">
                  <c:v>1.9607843137254901</c:v>
                </c:pt>
              </c:numCache>
            </c:numRef>
          </c:val>
        </c:ser>
        <c:ser>
          <c:idx val="4"/>
          <c:order val="4"/>
          <c:tx>
            <c:strRef>
              <c:f>Resultados_Sistemas_ACH!$B$8</c:f>
              <c:strCache>
                <c:ptCount val="1"/>
                <c:pt idx="0">
                  <c:v>Atacazo</c:v>
                </c:pt>
              </c:strCache>
            </c:strRef>
          </c:tx>
          <c:spPr>
            <a:pattFill xmlns:a="http://schemas.openxmlformats.org/drawingml/2006/main" prst="narHorz">
              <a:fgClr>
                <a:schemeClr val="accent5"/>
              </a:fgClr>
              <a:bgClr>
                <a:schemeClr val="accent5">
                  <a:lumMod val="20000"/>
                  <a:lumOff val="80000"/>
                </a:schemeClr>
              </a:bgClr>
            </a:pattFill>
            <a:ln xmlns:a="http://schemas.openxmlformats.org/drawingml/2006/main">
              <a:noFill/>
            </a:ln>
          </c:spPr>
          <c:cat>
            <c:strRef>
              <c:f>Resultados_Sistemas_ACH!$G$3:$J$3</c:f>
              <c:strCache>
                <c:ptCount val="4"/>
                <c:pt idx="0">
                  <c:v>Becarios (%)</c:v>
                </c:pt>
                <c:pt idx="1">
                  <c:v>Apoyo a Investigaciones (%)</c:v>
                </c:pt>
                <c:pt idx="2">
                  <c:v>Proyectos de Investigación (%)</c:v>
                </c:pt>
                <c:pt idx="3">
                  <c:v>TOTAL ECAP (%)</c:v>
                </c:pt>
              </c:strCache>
            </c:strRef>
          </c:cat>
          <c:val>
            <c:numRef>
              <c:f>Resultados_Sistemas_ACH!$G$8:$J$8</c:f>
              <c:numCache>
                <c:formatCode>0</c:formatCode>
                <c:ptCount val="4"/>
                <c:pt idx="0">
                  <c:v>4</c:v>
                </c:pt>
                <c:pt idx="1">
                  <c:v>0</c:v>
                </c:pt>
                <c:pt idx="2">
                  <c:v>10</c:v>
                </c:pt>
                <c:pt idx="3">
                  <c:v>3.9215686274509802</c:v>
                </c:pt>
              </c:numCache>
            </c:numRef>
          </c:val>
        </c:ser>
        <c:ser>
          <c:idx val="5"/>
          <c:order val="5"/>
          <c:tx>
            <c:strRef>
              <c:f>Resultados_Sistemas_ACH!$B$9</c:f>
              <c:strCache>
                <c:ptCount val="1"/>
                <c:pt idx="0">
                  <c:v>Rumipamba</c:v>
                </c:pt>
              </c:strCache>
            </c:strRef>
          </c:tx>
          <c:spPr>
            <a:pattFill xmlns:a="http://schemas.openxmlformats.org/drawingml/2006/main" prst="narHorz">
              <a:fgClr>
                <a:schemeClr val="accent6"/>
              </a:fgClr>
              <a:bgClr>
                <a:schemeClr val="accent6">
                  <a:lumMod val="20000"/>
                  <a:lumOff val="80000"/>
                </a:schemeClr>
              </a:bgClr>
            </a:pattFill>
            <a:ln xmlns:a="http://schemas.openxmlformats.org/drawingml/2006/main">
              <a:noFill/>
            </a:ln>
          </c:spPr>
          <c:cat>
            <c:strRef>
              <c:f>Resultados_Sistemas_ACH!$G$3:$J$3</c:f>
              <c:strCache>
                <c:ptCount val="4"/>
                <c:pt idx="0">
                  <c:v>Becarios (%)</c:v>
                </c:pt>
                <c:pt idx="1">
                  <c:v>Apoyo a Investigaciones (%)</c:v>
                </c:pt>
                <c:pt idx="2">
                  <c:v>Proyectos de Investigación (%)</c:v>
                </c:pt>
                <c:pt idx="3">
                  <c:v>TOTAL ECAP (%)</c:v>
                </c:pt>
              </c:strCache>
            </c:strRef>
          </c:cat>
          <c:val>
            <c:numRef>
              <c:f>Resultados_Sistemas_ACH!$G$9:$J$9</c:f>
              <c:numCache>
                <c:formatCode>0</c:formatCode>
                <c:ptCount val="4"/>
                <c:pt idx="0">
                  <c:v>4</c:v>
                </c:pt>
                <c:pt idx="1">
                  <c:v>0</c:v>
                </c:pt>
                <c:pt idx="2">
                  <c:v>0</c:v>
                </c:pt>
                <c:pt idx="3">
                  <c:v>1.9607843137254901</c:v>
                </c:pt>
              </c:numCache>
            </c:numRef>
          </c:val>
        </c:ser>
        <c:dLbls>
          <c:showLegendKey val="0"/>
          <c:showVal val="0"/>
          <c:showCatName val="0"/>
          <c:showSerName val="0"/>
          <c:showPercent val="0"/>
          <c:showBubbleSize val="0"/>
        </c:dLbls>
        <c:gapWidth val="164"/>
        <c:overlap val="-22"/>
        <c:axId val="450034504"/>
        <c:axId val="450036856"/>
      </c:barChart>
      <c:catAx>
        <c:axId val="450034504"/>
        <c:scaling>
          <c:orientation val="minMax"/>
        </c:scaling>
        <c:delete val="0"/>
        <c:axPos val="b"/>
        <c:numFmt formatCode="General" sourceLinked="1"/>
        <c:majorTickMark val="none"/>
        <c:minorTickMark val="none"/>
        <c:tickLblPos val="nextTo"/>
        <c:spPr>
          <a:ln xmlns:a="http://schemas.openxmlformats.org/drawingml/2006/main" w="19050" cmpd="sng">
            <a:solidFill>
              <a:schemeClr val="tx1">
                <a:lumMod val="25000"/>
                <a:lumOff val="75000"/>
              </a:schemeClr>
            </a:solidFill>
          </a:ln>
        </c:spPr>
        <c:txPr>
          <a:bodyPr xmlns:a="http://schemas.openxmlformats.org/drawingml/2006/main" rot="-60000000" spcFirstLastPara="1" vert="horz" wrap="square" anchor="ctr" anchorCtr="1"/>
          <a:lstStyle xmlns:a="http://schemas.openxmlformats.org/drawingml/2006/main"/>
          <a:p xmlns:a="http://schemas.openxmlformats.org/drawingml/2006/main">
            <a:pPr>
              <a:defRPr sz="900" b="0" i="0" u="none">
                <a:solidFill>
                  <a:schemeClr val="tx1">
                    <a:lumMod val="65000"/>
                    <a:lumOff val="35000"/>
                  </a:schemeClr>
                </a:solidFill>
                <a:latin typeface="+mn-lt"/>
                <a:ea typeface="+mn-lt"/>
                <a:cs typeface="+mn-lt"/>
              </a:defRPr>
            </a:pPr>
          </a:p>
        </c:txPr>
        <c:crossAx val="450036856"/>
        <c:crosses val="autoZero"/>
        <c:lblOffset val="100"/>
      </c:catAx>
      <c:valAx>
        <c:axId val="450036856"/>
        <c:scaling>
          <c:orientation val="minMax"/>
        </c:scaling>
        <c:delete val="0"/>
        <c:axPos val="l"/>
        <c:numFmt formatCode="0" sourceLinked="1"/>
        <c:majorTickMark val="none"/>
        <c:minorTickMark val="none"/>
        <c:tickLblPos val="nextTo"/>
        <c:spPr>
          <a:ln xmlns:a="http://schemas.openxmlformats.org/drawingml/2006/main">
            <a:noFill/>
          </a:ln>
        </c:spPr>
        <c:txPr>
          <a:bodyPr xmlns:a="http://schemas.openxmlformats.org/drawingml/2006/main" rot="-60000000" vert="horz" anchor="ctr" anchorCtr="1"/>
          <a:lstStyle xmlns:a="http://schemas.openxmlformats.org/drawingml/2006/main"/>
          <a:p xmlns:a="http://schemas.openxmlformats.org/drawingml/2006/main">
            <a:pPr>
              <a:defRPr sz="900" b="0" i="0" u="none">
                <a:solidFill>
                  <a:schemeClr val="tx1">
                    <a:lumMod val="65000"/>
                    <a:lumOff val="35000"/>
                  </a:schemeClr>
                </a:solidFill>
                <a:latin typeface="+mn-lt"/>
                <a:ea typeface="+mn-lt"/>
                <a:cs typeface="+mn-lt"/>
              </a:defRPr>
            </a:pPr>
          </a:p>
        </c:txPr>
        <c:crossAx val="450034504"/>
        <c:crosses val="autoZero"/>
        <c:crossBetween val="between"/>
      </c:valAx>
      <c:spPr>
        <a:noFill xmlns:a="http://schemas.openxmlformats.org/drawingml/2006/main"/>
        <a:ln xmlns:a="http://schemas.openxmlformats.org/drawingml/2006/main">
          <a:noFill/>
        </a:ln>
      </c:spPr>
    </c:plotArea>
    <c:legend>
      <c:legendPos val="b"/>
      <c:overlay val="0"/>
      <c:spPr>
        <a:noFill xmlns:a="http://schemas.openxmlformats.org/drawingml/2006/main"/>
      </c:spPr>
      <c:txPr>
        <a:bodyPr xmlns:a="http://schemas.openxmlformats.org/drawingml/2006/main" rot="0" vert="horz" anchor="ctr" anchorCtr="1"/>
        <a:lstStyle xmlns:a="http://schemas.openxmlformats.org/drawingml/2006/main"/>
        <a:p xmlns:a="http://schemas.openxmlformats.org/drawingml/2006/main">
          <a:pPr>
            <a:defRPr sz="900" b="0" i="0" u="none">
              <a:solidFill>
                <a:schemeClr val="tx1">
                  <a:lumMod val="65000"/>
                  <a:lumOff val="35000"/>
                </a:schemeClr>
              </a:solidFill>
              <a:latin typeface="+mn-lt"/>
              <a:ea typeface="+mn-lt"/>
              <a:cs typeface="+mn-lt"/>
            </a:defRPr>
          </a:pPr>
        </a:p>
      </c:txPr>
    </c:legend>
    <c:plotVisOnly val="1"/>
  </c:chart>
  <c:spPr>
    <a:solidFill xmlns:a="http://schemas.openxmlformats.org/drawingml/2006/main">
      <a:schemeClr val="bg1"/>
    </a:solidFill>
    <a:ln xmlns:a="http://schemas.openxmlformats.org/drawingml/2006/main" w="9525" cmpd="sng">
      <a:solidFill>
        <a:schemeClr val="tx1">
          <a:lumMod val="15000"/>
          <a:lumOff val="85000"/>
        </a:schemeClr>
      </a:solidFill>
    </a:ln>
  </c:spPr>
</c:chartSpace>
</file>

<file path=xl/drawings/charts/chart9.xml><?xml version="1.0" encoding="utf-8"?>
<c:chartSpace xmlns:mc="http://schemas.openxmlformats.org/markup-compatibility/2006" xmlns:c14="http://schemas.microsoft.com/office/drawing/2007/8/2/chart" xmlns:c="http://schemas.openxmlformats.org/drawingml/2006/chart" mc:Ignorable="c14">
  <c:lang val="en-US"/>
  <c:roundedCorners val="0"/>
  <mc:AlternateContent>
    <mc:Choice Requires="c14">
      <c14:style val="102"/>
    </mc:Choice>
    <mc:Fallback>
      <c:style val="2"/>
    </mc:Fallback>
  </mc:AlternateContent>
  <c:chart>
    <c:title>
      <c:tx>
        <c:rich>
          <a:bodyPr xmlns:a="http://schemas.openxmlformats.org/drawingml/2006/main"/>
          <a:lstStyle xmlns:a="http://schemas.openxmlformats.org/drawingml/2006/main"/>
          <a:p xmlns:a="http://schemas.openxmlformats.org/drawingml/2006/main">
            <a:r>
              <a:rPr sz="1400" b="1" i="0" u="none" cap="all" spc="150">
                <a:solidFill>
                  <a:schemeClr val="tx1"/>
                </a:solidFill>
                <a:latin typeface="+mn-lt"/>
                <a:ea typeface="+mn-lt"/>
                <a:cs typeface="+mn-lt"/>
              </a:rPr>
              <a:t>ESTUDIOS ECAP POR SISTEMAS de abastecimiento de agua</a:t>
            </a:r>
          </a:p>
        </c:rich>
      </c:tx>
      <c:overlay val="0"/>
      <c:txPr>
        <a:bodyPr xmlns:a="http://schemas.openxmlformats.org/drawingml/2006/main" rot="0" vert="horz" anchor="ctr" anchorCtr="1"/>
        <a:lstStyle xmlns:a="http://schemas.openxmlformats.org/drawingml/2006/main"/>
        <a:p xmlns:a="http://schemas.openxmlformats.org/drawingml/2006/main">
          <a:pPr>
            <a:defRPr sz="1400" b="1" i="0" u="none" cap="all" spc="150">
              <a:solidFill>
                <a:schemeClr val="tx1"/>
              </a:solidFill>
              <a:latin typeface="+mn-lt"/>
              <a:ea typeface="+mn-lt"/>
              <a:cs typeface="+mn-lt"/>
            </a:defRPr>
          </a:pPr>
        </a:p>
      </c:txPr>
    </c:title>
    <c:autoTitleDeleted val="0"/>
    <c:plotArea>
      <c:barChart>
        <c:barDir val="col"/>
        <c:grouping val="clustered"/>
        <c:varyColors val="0"/>
        <c:ser>
          <c:idx val="0"/>
          <c:order val="0"/>
          <c:tx>
            <c:strRef>
              <c:f>Resultados_Sistemas_ACH!$B$14</c:f>
              <c:strCache>
                <c:ptCount val="1"/>
                <c:pt idx="0">
                  <c:v>Papallacta Integrado</c:v>
                </c:pt>
              </c:strCache>
            </c:strRef>
          </c:tx>
          <c:spPr>
            <a:pattFill xmlns:a="http://schemas.openxmlformats.org/drawingml/2006/main" prst="narHorz">
              <a:fgClr>
                <a:schemeClr val="accent1"/>
              </a:fgClr>
              <a:bgClr>
                <a:schemeClr val="accent1">
                  <a:lumMod val="20000"/>
                  <a:lumOff val="80000"/>
                </a:schemeClr>
              </a:bgClr>
            </a:pattFill>
            <a:ln xmlns:a="http://schemas.openxmlformats.org/drawingml/2006/main">
              <a:noFill/>
            </a:ln>
          </c:spPr>
          <c:cat>
            <c:strRef>
              <c:f>Resultados_Sistemas_ACH!$G$13:$J$13</c:f>
              <c:strCache>
                <c:ptCount val="4"/>
                <c:pt idx="0">
                  <c:v>Becarios (%)</c:v>
                </c:pt>
                <c:pt idx="1">
                  <c:v>Apoyo a Investigaciones (%)</c:v>
                </c:pt>
                <c:pt idx="2">
                  <c:v>Proyectos de Investigación (%)</c:v>
                </c:pt>
                <c:pt idx="3">
                  <c:v>TOTAL ECAP (%)</c:v>
                </c:pt>
              </c:strCache>
            </c:strRef>
          </c:cat>
          <c:val>
            <c:numRef>
              <c:f>Resultados_Sistemas_ACH!$G$14:$J$14</c:f>
              <c:numCache>
                <c:formatCode>0</c:formatCode>
                <c:ptCount val="4"/>
                <c:pt idx="0">
                  <c:v>30.303030303030305</c:v>
                </c:pt>
                <c:pt idx="1">
                  <c:v>34.375</c:v>
                </c:pt>
                <c:pt idx="2">
                  <c:v>9.090909090909092</c:v>
                </c:pt>
                <c:pt idx="3">
                  <c:v>28.947368421052634</c:v>
                </c:pt>
              </c:numCache>
            </c:numRef>
          </c:val>
        </c:ser>
        <c:ser>
          <c:idx val="1"/>
          <c:order val="1"/>
          <c:tx>
            <c:strRef>
              <c:f>Resultados_Sistemas_ACH!$B$15</c:f>
              <c:strCache>
                <c:ptCount val="1"/>
                <c:pt idx="0">
                  <c:v>Mica Quito Sur</c:v>
                </c:pt>
              </c:strCache>
            </c:strRef>
          </c:tx>
          <c:spPr>
            <a:pattFill xmlns:a="http://schemas.openxmlformats.org/drawingml/2006/main" prst="narHorz">
              <a:fgClr>
                <a:schemeClr val="accent2"/>
              </a:fgClr>
              <a:bgClr>
                <a:schemeClr val="accent2">
                  <a:lumMod val="20000"/>
                  <a:lumOff val="80000"/>
                </a:schemeClr>
              </a:bgClr>
            </a:pattFill>
            <a:ln xmlns:a="http://schemas.openxmlformats.org/drawingml/2006/main">
              <a:noFill/>
            </a:ln>
          </c:spPr>
          <c:cat>
            <c:strRef>
              <c:f>Resultados_Sistemas_ACH!$G$13:$J$13</c:f>
              <c:strCache>
                <c:ptCount val="4"/>
                <c:pt idx="0">
                  <c:v>Becarios (%)</c:v>
                </c:pt>
                <c:pt idx="1">
                  <c:v>Apoyo a Investigaciones (%)</c:v>
                </c:pt>
                <c:pt idx="2">
                  <c:v>Proyectos de Investigación (%)</c:v>
                </c:pt>
                <c:pt idx="3">
                  <c:v>TOTAL ECAP (%)</c:v>
                </c:pt>
              </c:strCache>
            </c:strRef>
          </c:cat>
          <c:val>
            <c:numRef>
              <c:f>Resultados_Sistemas_ACH!$G$15:$J$15</c:f>
              <c:numCache>
                <c:formatCode>0</c:formatCode>
                <c:ptCount val="4"/>
                <c:pt idx="0">
                  <c:v>42.42424242424242</c:v>
                </c:pt>
                <c:pt idx="1">
                  <c:v>37.5</c:v>
                </c:pt>
                <c:pt idx="2">
                  <c:v>90.9090909090909</c:v>
                </c:pt>
                <c:pt idx="3">
                  <c:v>47.368421052631575</c:v>
                </c:pt>
              </c:numCache>
            </c:numRef>
          </c:val>
        </c:ser>
        <c:ser>
          <c:idx val="2"/>
          <c:order val="2"/>
          <c:tx>
            <c:strRef>
              <c:f>Resultados_Sistemas_ACH!$B$16</c:f>
              <c:strCache>
                <c:ptCount val="1"/>
                <c:pt idx="0">
                  <c:v>Pita</c:v>
                </c:pt>
              </c:strCache>
            </c:strRef>
          </c:tx>
          <c:spPr>
            <a:pattFill xmlns:a="http://schemas.openxmlformats.org/drawingml/2006/main" prst="narHorz">
              <a:fgClr>
                <a:schemeClr val="accent3"/>
              </a:fgClr>
              <a:bgClr>
                <a:schemeClr val="accent3">
                  <a:lumMod val="20000"/>
                  <a:lumOff val="80000"/>
                </a:schemeClr>
              </a:bgClr>
            </a:pattFill>
            <a:ln xmlns:a="http://schemas.openxmlformats.org/drawingml/2006/main">
              <a:noFill/>
            </a:ln>
          </c:spPr>
          <c:cat>
            <c:strRef>
              <c:f>Resultados_Sistemas_ACH!$G$13:$J$13</c:f>
              <c:strCache>
                <c:ptCount val="4"/>
                <c:pt idx="0">
                  <c:v>Becarios (%)</c:v>
                </c:pt>
                <c:pt idx="1">
                  <c:v>Apoyo a Investigaciones (%)</c:v>
                </c:pt>
                <c:pt idx="2">
                  <c:v>Proyectos de Investigación (%)</c:v>
                </c:pt>
                <c:pt idx="3">
                  <c:v>TOTAL ECAP (%)</c:v>
                </c:pt>
              </c:strCache>
            </c:strRef>
          </c:cat>
          <c:val>
            <c:numRef>
              <c:f>Resultados_Sistemas_ACH!$G$16:$J$16</c:f>
              <c:numCache>
                <c:formatCode>0</c:formatCode>
                <c:ptCount val="4"/>
                <c:pt idx="0">
                  <c:v>18.181818181818183</c:v>
                </c:pt>
                <c:pt idx="1">
                  <c:v>6.25</c:v>
                </c:pt>
                <c:pt idx="2">
                  <c:v>0</c:v>
                </c:pt>
                <c:pt idx="3">
                  <c:v>10.526315789473683</c:v>
                </c:pt>
              </c:numCache>
            </c:numRef>
          </c:val>
        </c:ser>
        <c:ser>
          <c:idx val="3"/>
          <c:order val="3"/>
          <c:tx>
            <c:strRef>
              <c:f>Resultados_Sistemas_ACH!$B$17</c:f>
              <c:strCache>
                <c:ptCount val="1"/>
                <c:pt idx="0">
                  <c:v>Atacazo</c:v>
                </c:pt>
              </c:strCache>
            </c:strRef>
          </c:tx>
          <c:spPr>
            <a:pattFill xmlns:a="http://schemas.openxmlformats.org/drawingml/2006/main" prst="narHorz">
              <a:fgClr>
                <a:schemeClr val="accent4"/>
              </a:fgClr>
              <a:bgClr>
                <a:schemeClr val="accent4">
                  <a:lumMod val="20000"/>
                  <a:lumOff val="80000"/>
                </a:schemeClr>
              </a:bgClr>
            </a:pattFill>
            <a:ln xmlns:a="http://schemas.openxmlformats.org/drawingml/2006/main">
              <a:noFill/>
            </a:ln>
          </c:spPr>
          <c:cat>
            <c:strRef>
              <c:f>Resultados_Sistemas_ACH!$G$13:$J$13</c:f>
              <c:strCache>
                <c:ptCount val="4"/>
                <c:pt idx="0">
                  <c:v>Becarios (%)</c:v>
                </c:pt>
                <c:pt idx="1">
                  <c:v>Apoyo a Investigaciones (%)</c:v>
                </c:pt>
                <c:pt idx="2">
                  <c:v>Proyectos de Investigación (%)</c:v>
                </c:pt>
                <c:pt idx="3">
                  <c:v>TOTAL ECAP (%)</c:v>
                </c:pt>
              </c:strCache>
            </c:strRef>
          </c:cat>
          <c:val>
            <c:numRef>
              <c:f>Resultados_Sistemas_ACH!$G$17:$J$17</c:f>
              <c:numCache>
                <c:formatCode>0</c:formatCode>
                <c:ptCount val="4"/>
                <c:pt idx="0">
                  <c:v>3.0303030303030303</c:v>
                </c:pt>
                <c:pt idx="1">
                  <c:v>9.375</c:v>
                </c:pt>
                <c:pt idx="2">
                  <c:v>0</c:v>
                </c:pt>
                <c:pt idx="3">
                  <c:v>5.263157894736842</c:v>
                </c:pt>
              </c:numCache>
            </c:numRef>
          </c:val>
        </c:ser>
        <c:ser>
          <c:idx val="4"/>
          <c:order val="4"/>
          <c:tx>
            <c:strRef>
              <c:f>Resultados_Sistemas_ACH!$B$18</c:f>
              <c:strCache>
                <c:ptCount val="1"/>
                <c:pt idx="0">
                  <c:v>Noroccidente</c:v>
                </c:pt>
              </c:strCache>
            </c:strRef>
          </c:tx>
          <c:spPr>
            <a:pattFill xmlns:a="http://schemas.openxmlformats.org/drawingml/2006/main" prst="narHorz">
              <a:fgClr>
                <a:schemeClr val="accent5"/>
              </a:fgClr>
              <a:bgClr>
                <a:schemeClr val="accent5">
                  <a:lumMod val="20000"/>
                  <a:lumOff val="80000"/>
                </a:schemeClr>
              </a:bgClr>
            </a:pattFill>
            <a:ln xmlns:a="http://schemas.openxmlformats.org/drawingml/2006/main">
              <a:noFill/>
            </a:ln>
          </c:spPr>
          <c:cat>
            <c:strRef>
              <c:f>Resultados_Sistemas_ACH!$G$13:$J$13</c:f>
              <c:strCache>
                <c:ptCount val="4"/>
                <c:pt idx="0">
                  <c:v>Becarios (%)</c:v>
                </c:pt>
                <c:pt idx="1">
                  <c:v>Apoyo a Investigaciones (%)</c:v>
                </c:pt>
                <c:pt idx="2">
                  <c:v>Proyectos de Investigación (%)</c:v>
                </c:pt>
                <c:pt idx="3">
                  <c:v>TOTAL ECAP (%)</c:v>
                </c:pt>
              </c:strCache>
            </c:strRef>
          </c:cat>
          <c:val>
            <c:numRef>
              <c:f>Resultados_Sistemas_ACH!$G$18:$J$18</c:f>
              <c:numCache>
                <c:formatCode>0</c:formatCode>
                <c:ptCount val="4"/>
                <c:pt idx="0">
                  <c:v>3.0303030303030303</c:v>
                </c:pt>
                <c:pt idx="1">
                  <c:v>3.125</c:v>
                </c:pt>
                <c:pt idx="2">
                  <c:v>0</c:v>
                </c:pt>
                <c:pt idx="3">
                  <c:v>2.631578947368421</c:v>
                </c:pt>
              </c:numCache>
            </c:numRef>
          </c:val>
        </c:ser>
        <c:ser>
          <c:idx val="5"/>
          <c:order val="5"/>
          <c:tx>
            <c:strRef>
              <c:f>Resultados_Sistemas_ACH!$B$19</c:f>
              <c:strCache>
                <c:ptCount val="1"/>
                <c:pt idx="0">
                  <c:v>Otros </c:v>
                </c:pt>
              </c:strCache>
            </c:strRef>
          </c:tx>
          <c:spPr>
            <a:pattFill xmlns:a="http://schemas.openxmlformats.org/drawingml/2006/main" prst="narHorz">
              <a:fgClr>
                <a:schemeClr val="accent6"/>
              </a:fgClr>
              <a:bgClr>
                <a:schemeClr val="accent6">
                  <a:lumMod val="20000"/>
                  <a:lumOff val="80000"/>
                </a:schemeClr>
              </a:bgClr>
            </a:pattFill>
            <a:ln xmlns:a="http://schemas.openxmlformats.org/drawingml/2006/main">
              <a:noFill/>
            </a:ln>
          </c:spPr>
          <c:cat>
            <c:strRef>
              <c:f>Resultados_Sistemas_ACH!$G$13:$J$13</c:f>
              <c:strCache>
                <c:ptCount val="4"/>
                <c:pt idx="0">
                  <c:v>Becarios (%)</c:v>
                </c:pt>
                <c:pt idx="1">
                  <c:v>Apoyo a Investigaciones (%)</c:v>
                </c:pt>
                <c:pt idx="2">
                  <c:v>Proyectos de Investigación (%)</c:v>
                </c:pt>
                <c:pt idx="3">
                  <c:v>TOTAL ECAP (%)</c:v>
                </c:pt>
              </c:strCache>
            </c:strRef>
          </c:cat>
          <c:val>
            <c:numRef>
              <c:f>Resultados_Sistemas_ACH!$G$19:$J$19</c:f>
              <c:numCache>
                <c:formatCode>0</c:formatCode>
                <c:ptCount val="4"/>
                <c:pt idx="0">
                  <c:v>3.0303030303030303</c:v>
                </c:pt>
                <c:pt idx="1">
                  <c:v>9.375</c:v>
                </c:pt>
                <c:pt idx="2">
                  <c:v>0</c:v>
                </c:pt>
                <c:pt idx="3">
                  <c:v>5.263157894736842</c:v>
                </c:pt>
              </c:numCache>
            </c:numRef>
          </c:val>
        </c:ser>
        <c:dLbls>
          <c:showLegendKey val="0"/>
          <c:showVal val="0"/>
          <c:showCatName val="0"/>
          <c:showSerName val="0"/>
          <c:showPercent val="0"/>
          <c:showBubbleSize val="0"/>
        </c:dLbls>
        <c:gapWidth val="164"/>
        <c:overlap val="-22"/>
        <c:axId val="450037248"/>
        <c:axId val="450037640"/>
      </c:barChart>
      <c:catAx>
        <c:axId val="450037248"/>
        <c:scaling>
          <c:orientation val="minMax"/>
        </c:scaling>
        <c:delete val="0"/>
        <c:axPos val="b"/>
        <c:numFmt formatCode="General" sourceLinked="1"/>
        <c:majorTickMark val="none"/>
        <c:minorTickMark val="none"/>
        <c:tickLblPos val="nextTo"/>
        <c:spPr>
          <a:ln xmlns:a="http://schemas.openxmlformats.org/drawingml/2006/main" w="19050" cmpd="sng">
            <a:solidFill>
              <a:schemeClr val="tx1">
                <a:lumMod val="25000"/>
                <a:lumOff val="75000"/>
              </a:schemeClr>
            </a:solidFill>
          </a:ln>
        </c:spPr>
        <c:txPr>
          <a:bodyPr xmlns:a="http://schemas.openxmlformats.org/drawingml/2006/main" rot="-60000000" spcFirstLastPara="1" vert="horz" wrap="square" anchor="ctr" anchorCtr="1"/>
          <a:lstStyle xmlns:a="http://schemas.openxmlformats.org/drawingml/2006/main"/>
          <a:p xmlns:a="http://schemas.openxmlformats.org/drawingml/2006/main">
            <a:pPr>
              <a:defRPr sz="900" b="0" i="0" u="none">
                <a:solidFill>
                  <a:schemeClr val="tx1">
                    <a:lumMod val="65000"/>
                    <a:lumOff val="35000"/>
                  </a:schemeClr>
                </a:solidFill>
                <a:latin typeface="+mn-lt"/>
                <a:ea typeface="+mn-lt"/>
                <a:cs typeface="+mn-lt"/>
              </a:defRPr>
            </a:pPr>
          </a:p>
        </c:txPr>
        <c:crossAx val="450037640"/>
        <c:crosses val="autoZero"/>
        <c:lblOffset val="100"/>
      </c:catAx>
      <c:valAx>
        <c:axId val="450037640"/>
        <c:scaling>
          <c:orientation val="minMax"/>
        </c:scaling>
        <c:delete val="0"/>
        <c:axPos val="l"/>
        <c:numFmt formatCode="0" sourceLinked="1"/>
        <c:majorTickMark val="none"/>
        <c:minorTickMark val="none"/>
        <c:tickLblPos val="nextTo"/>
        <c:spPr>
          <a:ln xmlns:a="http://schemas.openxmlformats.org/drawingml/2006/main">
            <a:noFill/>
          </a:ln>
        </c:spPr>
        <c:txPr>
          <a:bodyPr xmlns:a="http://schemas.openxmlformats.org/drawingml/2006/main" rot="-60000000" vert="horz" anchor="ctr" anchorCtr="1"/>
          <a:lstStyle xmlns:a="http://schemas.openxmlformats.org/drawingml/2006/main"/>
          <a:p xmlns:a="http://schemas.openxmlformats.org/drawingml/2006/main">
            <a:pPr>
              <a:defRPr sz="900" b="0" i="0" u="none">
                <a:solidFill>
                  <a:schemeClr val="tx1">
                    <a:lumMod val="65000"/>
                    <a:lumOff val="35000"/>
                  </a:schemeClr>
                </a:solidFill>
                <a:latin typeface="+mn-lt"/>
                <a:ea typeface="+mn-lt"/>
                <a:cs typeface="+mn-lt"/>
              </a:defRPr>
            </a:pPr>
          </a:p>
        </c:txPr>
        <c:crossAx val="450037248"/>
        <c:crosses val="autoZero"/>
        <c:crossBetween val="between"/>
      </c:valAx>
      <c:spPr>
        <a:noFill xmlns:a="http://schemas.openxmlformats.org/drawingml/2006/main"/>
        <a:ln xmlns:a="http://schemas.openxmlformats.org/drawingml/2006/main">
          <a:noFill/>
        </a:ln>
      </c:spPr>
    </c:plotArea>
    <c:legend>
      <c:legendPos val="b"/>
      <c:overlay val="0"/>
      <c:spPr>
        <a:noFill xmlns:a="http://schemas.openxmlformats.org/drawingml/2006/main"/>
      </c:spPr>
      <c:txPr>
        <a:bodyPr xmlns:a="http://schemas.openxmlformats.org/drawingml/2006/main" rot="0" vert="horz" anchor="ctr" anchorCtr="1"/>
        <a:lstStyle xmlns:a="http://schemas.openxmlformats.org/drawingml/2006/main"/>
        <a:p xmlns:a="http://schemas.openxmlformats.org/drawingml/2006/main">
          <a:pPr>
            <a:defRPr sz="900" b="0" i="0" u="none">
              <a:solidFill>
                <a:schemeClr val="tx1">
                  <a:lumMod val="65000"/>
                  <a:lumOff val="35000"/>
                </a:schemeClr>
              </a:solidFill>
              <a:latin typeface="+mn-lt"/>
              <a:ea typeface="+mn-lt"/>
              <a:cs typeface="+mn-lt"/>
            </a:defRPr>
          </a:pPr>
        </a:p>
      </c:txPr>
    </c:legend>
    <c:plotVisOnly val="1"/>
  </c:chart>
  <c:spPr>
    <a:solidFill xmlns:a="http://schemas.openxmlformats.org/drawingml/2006/main">
      <a:schemeClr val="bg1"/>
    </a:solidFill>
    <a:ln xmlns:a="http://schemas.openxmlformats.org/drawingml/2006/main" w="9525" cmpd="sng">
      <a:solidFill>
        <a:schemeClr val="tx1">
          <a:lumMod val="15000"/>
          <a:lumOff val="85000"/>
        </a:schemeClr>
      </a:solidFill>
    </a:ln>
  </c:spPr>
</c:chartSpace>
</file>

<file path=xl/drawings/drawing1.xml><?xml version="1.0" encoding="utf-8"?>
<xdr:wsDr xmlns:xdr="http://schemas.openxmlformats.org/drawingml/2006/spreadsheetDrawing">
  <xdr:twoCellAnchor>
    <xdr:from>
      <xdr:col>10</xdr:col>
      <xdr:colOff>342900</xdr:colOff>
      <xdr:row>1</xdr:row>
      <xdr:rowOff>7620</xdr:rowOff>
    </xdr:from>
    <xdr:to>
      <xdr:col>16</xdr:col>
      <xdr:colOff>541020</xdr:colOff>
      <xdr:row>14</xdr:row>
      <xdr:rowOff>175260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2d5c6dbe7af47ef"/>
        </a:graphicData>
      </a:graphic>
    </xdr:graphicFrame>
    <xdr:clientData/>
  </xdr:twoCellAnchor>
  <xdr:twoCellAnchor>
    <xdr:from>
      <xdr:col>10</xdr:col>
      <xdr:colOff>358140</xdr:colOff>
      <xdr:row>16</xdr:row>
      <xdr:rowOff>30480</xdr:rowOff>
    </xdr:from>
    <xdr:to>
      <xdr:col>16</xdr:col>
      <xdr:colOff>556260</xdr:colOff>
      <xdr:row>30</xdr:row>
      <xdr:rowOff>15240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0101d4a072f49a2"/>
        </a:graphicData>
      </a:graphic>
    </xdr:graphicFrame>
    <xdr:clientData/>
  </xdr:twoCellAnchor>
  <xdr:twoCellAnchor>
    <xdr:from>
      <xdr:col>16</xdr:col>
      <xdr:colOff>617220</xdr:colOff>
      <xdr:row>16</xdr:row>
      <xdr:rowOff>15240</xdr:rowOff>
    </xdr:from>
    <xdr:to>
      <xdr:col>23</xdr:col>
      <xdr:colOff>22860</xdr:colOff>
      <xdr:row>30</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808ec86363b41d0"/>
        </a:graphicData>
      </a:graphic>
    </xdr:graphicFrame>
    <xdr:clientData/>
  </xdr:twoCellAnchor>
</xdr:wsDr>
</file>

<file path=xl/drawings/drawing2.xml><?xml version="1.0" encoding="utf-8"?>
<xdr:wsDr xmlns:xdr="http://schemas.openxmlformats.org/drawingml/2006/spreadsheetDrawing">
  <xdr:twoCellAnchor>
    <xdr:from>
      <xdr:col>10</xdr:col>
      <xdr:colOff>685800</xdr:colOff>
      <xdr:row>1</xdr:row>
      <xdr:rowOff>38100</xdr:rowOff>
    </xdr:from>
    <xdr:to>
      <xdr:col>16</xdr:col>
      <xdr:colOff>502920</xdr:colOff>
      <xdr:row>12</xdr:row>
      <xdr:rowOff>472440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9b7ab0d916f440e"/>
        </a:graphicData>
      </a:graphic>
    </xdr:graphicFrame>
    <xdr:clientData/>
  </xdr:twoCellAnchor>
  <xdr:twoCellAnchor>
    <xdr:from>
      <xdr:col>10</xdr:col>
      <xdr:colOff>647700</xdr:colOff>
      <xdr:row>13</xdr:row>
      <xdr:rowOff>53340</xdr:rowOff>
    </xdr:from>
    <xdr:to>
      <xdr:col>16</xdr:col>
      <xdr:colOff>464820</xdr:colOff>
      <xdr:row>26</xdr:row>
      <xdr:rowOff>38100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107b9e36afa43ba"/>
        </a:graphicData>
      </a:graphic>
    </xdr:graphicFrame>
    <xdr:clientData/>
  </xdr:twoCellAnchor>
  <xdr:twoCellAnchor>
    <xdr:from>
      <xdr:col>11</xdr:col>
      <xdr:colOff>76200</xdr:colOff>
      <xdr:row>31</xdr:row>
      <xdr:rowOff>99060</xdr:rowOff>
    </xdr:from>
    <xdr:to>
      <xdr:col>16</xdr:col>
      <xdr:colOff>685800</xdr:colOff>
      <xdr:row>46</xdr:row>
      <xdr:rowOff>99060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db7fe03257f4186"/>
        </a:graphicData>
      </a:graphic>
    </xdr:graphicFrame>
    <xdr:clientData/>
  </xdr:twoCellAnchor>
  <xdr:twoCellAnchor>
    <xdr:from>
      <xdr:col>17</xdr:col>
      <xdr:colOff>281940</xdr:colOff>
      <xdr:row>31</xdr:row>
      <xdr:rowOff>114300</xdr:rowOff>
    </xdr:from>
    <xdr:to>
      <xdr:col>23</xdr:col>
      <xdr:colOff>99060</xdr:colOff>
      <xdr:row>46</xdr:row>
      <xdr:rowOff>114300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78155a213a041b5"/>
        </a:graphicData>
      </a:graphic>
    </xdr:graphicFrame>
    <xdr:clientData/>
  </xdr:twoCellAnchor>
  <xdr:twoCellAnchor>
    <xdr:from>
      <xdr:col>17</xdr:col>
      <xdr:colOff>15240</xdr:colOff>
      <xdr:row>1</xdr:row>
      <xdr:rowOff>76200</xdr:rowOff>
    </xdr:from>
    <xdr:to>
      <xdr:col>22</xdr:col>
      <xdr:colOff>624840</xdr:colOff>
      <xdr:row>12</xdr:row>
      <xdr:rowOff>510540</xdr:rowOff>
    </xdr:to>
    <xdr:graphicFrame macro="">
      <xdr:nvGraphicFramePr>
        <xdr:cNvPr id="5"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2dfe0c2316f4d90"/>
        </a:graphicData>
      </a:graphic>
    </xdr:graphicFrame>
    <xdr:clientData/>
  </xdr:twoCellAnchor>
  <xdr:twoCellAnchor>
    <xdr:from>
      <xdr:col>17</xdr:col>
      <xdr:colOff>0</xdr:colOff>
      <xdr:row>14</xdr:row>
      <xdr:rowOff>0</xdr:rowOff>
    </xdr:from>
    <xdr:to>
      <xdr:col>22</xdr:col>
      <xdr:colOff>609600</xdr:colOff>
      <xdr:row>26</xdr:row>
      <xdr:rowOff>167640</xdr:rowOff>
    </xdr:to>
    <xdr:graphicFrame macro="">
      <xdr:nvGraphicFramePr>
        <xdr:cNvPr id="6"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5d4ba27084047cb"/>
        </a:graphicData>
      </a:graphic>
    </xdr:graphicFrame>
    <xdr:clientData/>
  </xdr:twoCellAnchor>
</xdr:wsDr>
</file>

<file path=xl/persons/person.xml><?xml version="1.0" encoding="utf-8"?>
<xltc:personList xmlns:xltc="http://schemas.microsoft.com/office/spreadsheetml/2018/threadedcomments">
  <xltc:person displayName="Rommel Andres Suntaxi Nacimba" id="{B581D9F7-CCA2-4EEC-8EEB-418B575EEFA8}" userId="S::rommel.suntaxi@fonag.org.ec::c37ad0dc-062f-43d1-ba61-99568246d8cb" providerId="AD"/>
  <xltc:person displayName="Braulio Lahuatte" id="{053ADCCA-4A82-4B55-8847-E201137CE504}" userId="S::braulio.lahuatte@fonag.org.ec::2a96241c-f428-48c3-ace1-fc845c3e1177" providerId="AD"/>
</xltc:personList>
</file>

<file path=xl/tables/table1.xml><?xml version="1.0" encoding="utf-8"?>
<x:table xmlns:x="http://schemas.openxmlformats.org/spreadsheetml/2006/main" id="1" name="Tabla1" displayName="Tabla1" ref="A1:AU44" totalsRowShown="0" dataDxfId="52">
  <x:autoFilter ref="A1:AU44">
    <x:filterColumn colId="14">
      <x:filters blank="1">
        <x:filter val="Antisana, Alto Pita, Paluguillo"/>
        <x:filter val="Paluguillo"/>
        <x:filter val="Paluguillo, Chalpi, Alto Pita, Antisana, Rumipamba, Atacazo"/>
      </x:filters>
    </x:filterColumn>
  </x:autoFilter>
  <x:tableColumns count="47">
    <x:tableColumn id="1" name="No." dataDxfId="50"/>
    <x:tableColumn id="2" name="Becario" dataDxfId="49"/>
    <x:tableColumn id="39" name="Estado" dataDxfId="48"/>
    <x:tableColumn id="40" name="Año inicio" dataDxfId="47"/>
    <x:tableColumn id="3" name="Año fin" dataDxfId="46"/>
    <x:tableColumn id="4" name="Tema" dataDxfId="45"/>
    <x:tableColumn id="5" name="Institución " dataDxfId="44"/>
    <x:tableColumn id="45" name="Carrera" dataDxfId="43"/>
    <x:tableColumn id="42" name="Tutor Universidad" dataDxfId="42"/>
    <x:tableColumn id="46" name="Cotutor" dataDxfId="41"/>
    <x:tableColumn id="41" name="Acuerdo Beca" dataDxfId="40"/>
    <x:tableColumn id="44" name="Contraparte FONAG" dataDxfId="39"/>
    <x:tableColumn id="43" name="Contraparte EPMAPS" dataDxfId="38"/>
    <x:tableColumn id="6" name="Sistema estudio" dataDxfId="37"/>
    <x:tableColumn id="7" name="ACH estudio" dataDxfId="36"/>
    <x:tableColumn id="8" name="Objetivo del estudio" dataDxfId="35"/>
    <x:tableColumn id="49" name="Resultados esperados" dataDxfId="34"/>
    <x:tableColumn id="9" name="Área específica de estudio (Escala de Monitoreo)" dataDxfId="33"/>
    <x:tableColumn id="10" name="Metodología" dataDxfId="32"/>
    <x:tableColumn id="11" name="Hallazgos y Conclusiones" dataDxfId="31"/>
    <x:tableColumn id="12" name="Recomendaciones (lo que hace falta considerar o investigar)" dataDxfId="30"/>
    <x:tableColumn id="13" name="Campo de investigación específico" dataDxfId="29"/>
    <x:tableColumn id="14" name="Referencias a otros estudios que se han efectuado sobre el mismo tema en el ámbito de estudio" dataDxfId="28"/>
    <x:tableColumn id="15" name="Restauración de la cobertura vegetal" dataDxfId="27"/>
    <x:tableColumn id="16" name="Hidrología" dataDxfId="26"/>
    <x:tableColumn id="17" name="Hidrogeología" dataDxfId="25"/>
    <x:tableColumn id="18" name="Ecología de páramo" dataDxfId="24"/>
    <x:tableColumn id="19" name="Cambio climático y global" dataDxfId="23"/>
    <x:tableColumn id="20" name="Manejo de embalses" dataDxfId="22"/>
    <x:tableColumn id="21" name="Geología, Sismología y Vulcanología" dataDxfId="21"/>
    <x:tableColumn id="22" name="Análisis Socioeconómicos y Ambientales" dataDxfId="20"/>
    <x:tableColumn id="23" name="Economía Ecológica y Economía Ambiental" dataDxfId="19"/>
    <x:tableColumn id="24" name="Energía Renovable" dataDxfId="18"/>
    <x:tableColumn id="25" name="Línea prioritaria de investigación en ECAP según Encuestas" dataDxfId="17"/>
    <x:tableColumn id="26" name="Grado de aporte al conocimiento" dataDxfId="16"/>
    <x:tableColumn id="27" name="Grado de Implementación" dataDxfId="15"/>
    <x:tableColumn id="28" name="Necesidad de continuar investigando" dataDxfId="14"/>
    <x:tableColumn id="29" name="Indicador de Relevancia  Total" dataDxfId="13">
      <x:calculatedColumnFormula>SUM(AI2:AK2)/3</x:calculatedColumnFormula>
    </x:tableColumn>
    <x:tableColumn id="30" name="Convenio de Investigación" dataDxfId="12"/>
    <x:tableColumn id="31" name="Insumos de campo o experimentales" dataDxfId="11"/>
    <x:tableColumn id="32" name="Insumos o análisis de Laboratorio" dataDxfId="10"/>
    <x:tableColumn id="33" name="Logística (movilididad, alimentación)" dataDxfId="9"/>
    <x:tableColumn id="34" name="Pago por avances, estipendio" dataDxfId="8"/>
    <x:tableColumn id="35" name="Varios (materiales, impresiones, etc)" dataDxfId="7"/>
    <x:tableColumn id="36" name="Imprevistos" dataDxfId="6"/>
    <x:tableColumn id="37" name="Aporte total ECAP (USD)" dataDxfId="5">
      <x:calculatedColumnFormula>SUM(AN2:AS2)</x:calculatedColumnFormula>
    </x:tableColumn>
    <x:tableColumn id="38" name="Contraparte Universidad" dataDxfId="4"/>
  </x:tableColumns>
  <x:tableStyleInfo showFirstColumn="0" showLastColumn="0" showRowStripes="1" showColumnStripes="0"/>
</x:table>
</file>

<file path=xl/tables/table2.xml><?xml version="1.0" encoding="utf-8"?>
<x:table xmlns:x="http://schemas.openxmlformats.org/spreadsheetml/2006/main" id="2" name="Tabla2" displayName="Tabla2" ref="A1:AO53" totalsRowShown="0" dataDxfId="96">
  <x:autoFilter ref="A1:AO53">
    <x:filterColumn colId="5">
      <x:filters>
        <x:filter val="YACHAY"/>
      </x:filters>
    </x:filterColumn>
  </x:autoFilter>
  <x:tableColumns count="41">
    <x:tableColumn id="1" name="No." dataDxfId="94"/>
    <x:tableColumn id="2" name="Apoyo para investigaciones" dataDxfId="93"/>
    <x:tableColumn id="3" name="Año de inicio del estudio" dataDxfId="92"/>
    <x:tableColumn id="4" name="Año de fin del estudio" dataDxfId="91"/>
    <x:tableColumn id="5" name="Tema" dataDxfId="90"/>
    <x:tableColumn id="6" name="Institución " dataDxfId="89"/>
    <x:tableColumn id="40" name="Carrera" dataDxfId="88"/>
    <x:tableColumn id="41" name="Acuerdo de apoyo" dataDxfId="87"/>
    <x:tableColumn id="7" name="Sistema al que pertence el estudio" dataDxfId="86"/>
    <x:tableColumn id="8" name="Área de Conservación Hídrica al que pertence el estudio" dataDxfId="85"/>
    <x:tableColumn id="9" name="Objetivo del estudio" dataDxfId="84"/>
    <x:tableColumn id="10" name="Área específica de estudio (Escala de Monitoreo)" dataDxfId="83"/>
    <x:tableColumn id="11" name="Metodología" dataDxfId="82"/>
    <x:tableColumn id="12" name="Hallazgos y Conclusiones" dataDxfId="81"/>
    <x:tableColumn id="13" name="Recomendaciones (lo que hace falta considerar o investigar)" dataDxfId="80"/>
    <x:tableColumn id="14" name="Campo de investigación específico" dataDxfId="79"/>
    <x:tableColumn id="15" name="Referencias a otros estudios que se han efectuado sobre el mismo tema en el ámbito de estudio" dataDxfId="78"/>
    <x:tableColumn id="16" name="Restauración de la cobertura vegetal" dataDxfId="77"/>
    <x:tableColumn id="17" name="Hidrología" dataDxfId="76"/>
    <x:tableColumn id="18" name="Hidrogeología" dataDxfId="75"/>
    <x:tableColumn id="19" name="Ecología de páramo" dataDxfId="74"/>
    <x:tableColumn id="20" name="Cambio climático y global" dataDxfId="73"/>
    <x:tableColumn id="21" name="Manejo de embalses" dataDxfId="72"/>
    <x:tableColumn id="22" name="Geología, Sismología y Vulcanología" dataDxfId="71"/>
    <x:tableColumn id="23" name="Análisis Socioeconómicos y Ambientales" dataDxfId="70"/>
    <x:tableColumn id="24" name="Economía Ecológica y Economía Ambiental" dataDxfId="69"/>
    <x:tableColumn id="25" name="Energía Renovable" dataDxfId="68"/>
    <x:tableColumn id="26" name="Línea prioritaria de investigación en ECAP según encuestas" dataDxfId="67"/>
    <x:tableColumn id="27" name="Grado de aporte al conocimiento" dataDxfId="66"/>
    <x:tableColumn id="28" name="Grado de Implementación" dataDxfId="65"/>
    <x:tableColumn id="29" name="Necesidad de continuar investigando" dataDxfId="64"/>
    <x:tableColumn id="30" name="Indicador de Relevancia Total " dataDxfId="63"/>
    <x:tableColumn id="31" name="Convenio de Investigación" dataDxfId="62"/>
    <x:tableColumn id="32" name="Insumos de campo o experimentales" dataDxfId="61"/>
    <x:tableColumn id="33" name="Insumos o análisis de Laboratorio" dataDxfId="60"/>
    <x:tableColumn id="34" name="Logística (movilididad, alimentación)" dataDxfId="59"/>
    <x:tableColumn id="35" name="Pago por avances, estipendio" dataDxfId="58"/>
    <x:tableColumn id="36" name="Varios (materiales, impresiones, etc)" dataDxfId="57"/>
    <x:tableColumn id="37" name="Imprevistos" dataDxfId="56"/>
    <x:tableColumn id="38" name="Aporte total ECAP " dataDxfId="55"/>
    <x:tableColumn id="39" name="Contraparte Universidad" dataDxfId="54"/>
  </x:tableColumns>
  <x:tableStyleInfo name="TableStyleLight13" showFirstColumn="0" showLastColumn="0" showRowStripes="1" showColumnStripes="0"/>
</x:table>
</file>

<file path=xl/tables/table3.xml><?xml version="1.0" encoding="utf-8"?>
<x:table xmlns:x="http://schemas.openxmlformats.org/spreadsheetml/2006/main" id="3" name="BaseMapaECAP" displayName="BaseMapaECAP" ref="A1:J130" headerRowCount="1" totalsRowCount="0" totalsRowShown="0">
  <x:autoFilter ref="A1:J130"/>
  <x:tableColumns count="10">
    <x:tableColumn id="1" name="titulo"/>
    <x:tableColumn id="2" name="autores"/>
    <x:tableColumn id="3" name="anio"/>
    <x:tableColumn id="4" name="Línea prioritaria de investigación ECAP"/>
    <x:tableColumn id="5" name="tipo"/>
    <x:tableColumn id="6" name="estado"/>
    <x:tableColumn id="7" name="latitud"/>
    <x:tableColumn id="8" name="longitud"/>
    <x:tableColumn id="9" name="resumen"/>
    <x:tableColumn id="10" name="presupuesto"/>
  </x:tableColumns>
  <x:tableStyleInfo name="TableStyleMedium2" showFirstColumn="0" showLastColumn="0" showRowStripes="1" showColumnStripes="0"/>
</x: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K1" dT="2025-01-23T22:18:40.43" personId="{B581D9F7-CCA2-4EEC-8EEB-418B575EEFA8}" id="{0543BECA-E512-4B58-A56E-A840C1507AFA}">
    <xltc:text>2025 N° OFICIOS, MEMOS, REFORMAS, ACTAS SELECCIÓN, ORDENES DE COMPRA11.xlsx</xltc:text>
  </xltc:threadedComment>
  <xltc:threadedComment ref="X1" dT="2025-01-22T16:27:52.33" personId="{B581D9F7-CCA2-4EEC-8EEB-418B575EEFA8}" id="{8A72AD13-3FAE-4C5F-8763-48885CC7D7D6}">
    <xltc:text>Líneas prioritarias de investigación ECAP
</xltc:text>
  </xltc:threadedComment>
  <xltc:threadedComment ref="AI1" dT="2025-01-22T16:28:49.77" personId="{B581D9F7-CCA2-4EEC-8EEB-418B575EEFA8}" id="{0E8E4AC8-9649-47C8-BC0C-65D627E91D99}">
    <xltc:text>Valoración de la Relevancia de las Investigaciones según Encuestas</xltc:text>
  </xltc:threadedComment>
  <xltc:threadedComment ref="AN1" dT="2025-01-22T16:29:35.35" personId="{B581D9F7-CCA2-4EEC-8EEB-418B575EEFA8}" id="{1AF3F2AB-0817-4251-A33B-E56E24001344}">
    <xltc:text>Gastos ECAP (USD)</xltc:text>
  </xltc:threadedComment>
  <xltc:threadedComment ref="F27" dT="2023-10-25T16:48:19.99" personId="{053ADCCA-4A82-4B55-8847-E201137CE504}" id="{94488EB7-BF99-416D-A7A8-0C1AF467F490}">
    <xltc:text>Tesis en curso</xltc:text>
  </xltc:threadedComment>
  <xltc:threadedComment ref="F27" dT="2025-01-07T21:04:51.01" personId="{B581D9F7-CCA2-4EEC-8EEB-418B575EEFA8}" id="{7F789AE2-C83A-4843-B74E-D9881EB58E47}" parentId="{94488EB7-BF99-416D-A7A8-0C1AF467F490}">
    <xltc:text>Ya hay una tesis final con fecha octubre de 2024</xltc:text>
  </xltc:threadedComment>
  <xltc:threadedComment ref="K34" dT="2025-06-11T14:48:54.71" personId="{B581D9F7-CCA2-4EEC-8EEB-418B575EEFA8}" id="{B8E565F0-CAD3-4949-AD30-5BEBDCD7AF02}">
    <xltc:text>El acuerdo no se ha firmado porque el estudiante ya no se matriculó en el semestre. Se sugiere cambiar a Xavier Mena, estudiante de maestría o buscar otro estudiante si hay conflicto con la EPN.</xltc:text>
  </xltc:threadedComment>
  <xltc:threadedComment ref="AT36" dT="2025-01-23T19:39:41.29" personId="{B581D9F7-CCA2-4EEC-8EEB-418B575EEFA8}" id="{9B26089A-83D9-49D0-9600-C76B66062777}">
    <xltc:text>Preliminar del acuerdo de beca</xltc:text>
  </xltc:threadedComment>
  <xltc:threadedComment ref="K37" dT="2025-06-11T14:59:44.66" personId="{B581D9F7-CCA2-4EEC-8EEB-418B575EEFA8}" id="{BB1CA50A-7B89-4362-871B-05ADCA1976F0}">
    <xltc:text>El proceso de acuerdo de confidencialidad para compartir los datos está en proceso todavía. No se les ha otorgado fondos.</xltc:text>
  </xltc:threadedComment>
  <xltc:threadedComment ref="K38" dT="2025-06-11T14:52:37.13" personId="{B581D9F7-CCA2-4EEC-8EEB-418B575EEFA8}" id="{02B64217-6108-4D15-87B5-3870F02F66C5}">
    <xltc:text>Pendiente de que obtengan RUC</xltc:text>
  </xltc:threadedComment>
  <xltc:threadedComment ref="AT38" dT="2025-01-23T19:39:57.37" personId="{B581D9F7-CCA2-4EEC-8EEB-418B575EEFA8}" id="{D23E1D8C-75DD-442E-9E57-BA0D411D27AF}">
    <xltc:text>Preliminar del acuerdo de beca</xltc:text>
  </xltc:threadedComment>
  <xltc:threadedComment ref="K40" dT="2025-06-11T15:01:19.44" personId="{B581D9F7-CCA2-4EEC-8EEB-418B575EEFA8}" id="{C7832506-C11B-4742-8082-F63C684A06C8}">
    <xltc:text>El estudiante ha tenido algunos inconvenientes/retrasos. Sugiero no otorgarle recursos, sino apoyo como investigación.</xltc:text>
  </xltc:threadedComment>
</xltc:ThreadedComments>
</file>

<file path=xl/threadedcomments/threadedcomment2.xml><?xml version="1.0" encoding="utf-8"?>
<xltc:ThreadedComments xmlns:xltc="http://schemas.microsoft.com/office/spreadsheetml/2018/threadedcomments">
  <xltc:threadedComment ref="R1" dT="2025-02-04T14:36:24.44" personId="{B581D9F7-CCA2-4EEC-8EEB-418B575EEFA8}" id="{A4C99E0B-5203-45C6-A5F9-2D694636186D}">
    <xltc:text>Líneas prioritarias de investigación en ECAP</xltc:text>
  </xltc:threadedComment>
  <xltc:threadedComment ref="AC1" dT="2025-02-04T14:36:56.22" personId="{B581D9F7-CCA2-4EEC-8EEB-418B575EEFA8}" id="{86300A0D-98C8-40AE-BB5A-A10F3B9A48C9}">
    <xltc:text>Valoración de la Relevancia de las Investigaciones según Encuestas</xltc:text>
  </xltc:threadedComment>
  <xltc:threadedComment ref="AH1" dT="2025-02-04T14:37:35.42" personId="{B581D9F7-CCA2-4EEC-8EEB-418B575EEFA8}" id="{5D31EB54-55FA-400C-97E3-609721954949}">
    <xltc:text>Costos ECAP (USD)</xltc:text>
  </xltc:threadedComment>
  <xltc:threadedComment ref="A37" dT="2025-07-29T20:37:08.33" personId="{B581D9F7-CCA2-4EEC-8EEB-418B575EEFA8}" id="{3D2666B0-DF88-472A-B643-976A1A394A00}">
    <xltc:text>Tesis con María Claudia Segovia</xltc:text>
  </xltc:threadedComment>
</xltc:ThreadedComments>
</file>

<file path=xl/worksheets/_rels/sheet1.xml.rels>&#65279;<?xml version="1.0" encoding="utf-8"?><Relationships xmlns="http://schemas.openxmlformats.org/package/2006/relationships"><Relationship Type="http://schemas.openxmlformats.org/officeDocument/2006/relationships/hyperlink" Target="https://biblioteca.epn.edu.ec/cgi-bin/koha/opac-detail.pl?biblionumber=73455" TargetMode="External" Id="R03cc5a5019e94e02" /><Relationship Type="http://schemas.openxmlformats.org/officeDocument/2006/relationships/hyperlink" Target="https://biblioteca.epn.edu.ec/cgi-bin/koha/opac-detail.pl?biblionumber=73132" TargetMode="External" Id="Rde7fa7f0e70e483e" /><Relationship Type="http://schemas.openxmlformats.org/officeDocument/2006/relationships/hyperlink" Target="http://repositorio.puce.edu.ec/handle/22000/16940" TargetMode="External" Id="Rb300926c7b244a09" /><Relationship Type="http://schemas.openxmlformats.org/officeDocument/2006/relationships/hyperlink" Target="https://repositorio.yachaytech.edu.ec/handle/123456789/363" TargetMode="External" Id="R7e49cff108664f04" /><Relationship Type="http://schemas.openxmlformats.org/officeDocument/2006/relationships/hyperlink" Target="https://bibdigital.epn.edu.ec/handle/15000/19555" TargetMode="External" Id="Rf4a10410d5444055" /><Relationship Type="http://schemas.openxmlformats.org/officeDocument/2006/relationships/hyperlink" Target="http://repositorio.espe.edu.ec/xmlui/handle/21000/24261" TargetMode="External" Id="Rf677fb0a8a534bf8" /><Relationship Type="http://schemas.openxmlformats.org/officeDocument/2006/relationships/hyperlink" Target="https://repositorio.uisek.edu.ec/handle/123456789/2630" TargetMode="External" Id="R0db58135ca11489e" /><Relationship Type="http://schemas.openxmlformats.org/officeDocument/2006/relationships/hyperlink" Target="http://repositorio.puce.edu.ec/handle/22000/16612" TargetMode="External" Id="R55030d5a1eca4342" /><Relationship Type="http://schemas.openxmlformats.org/officeDocument/2006/relationships/hyperlink" Target="https://repositorio.yachaytech.edu.ec/handle/123456789/100?locale=es" TargetMode="External" Id="Rf32e55dbff914adb" /><Relationship Type="http://schemas.openxmlformats.org/officeDocument/2006/relationships/hyperlink" Target="http://repositorio.puce.edu.ec/handle/22000/18519" TargetMode="External" Id="R5f53cb8ae7c54d23" /><Relationship Type="http://schemas.openxmlformats.org/officeDocument/2006/relationships/hyperlink" Target="http://pucedspace.puce.edu.ec/handle/23000/4643" TargetMode="External" Id="R292a056c126c46f1" /><Relationship Type="http://schemas.openxmlformats.org/officeDocument/2006/relationships/hyperlink" Target="http://www.dspace.uce.edu.ec/handle/25000/20654" TargetMode="External" Id="R41487ba230ee4230" /><Relationship Type="http://schemas.openxmlformats.org/officeDocument/2006/relationships/hyperlink" Target="https://remcb-puce.edu.ec/remcb/article/view/839" TargetMode="External" Id="R75f467f08a594c13" /><Relationship Type="http://schemas.openxmlformats.org/officeDocument/2006/relationships/hyperlink" Target="http://repositorio.uti.edu.ec/handle/123456789/1514?mode=full" TargetMode="External" Id="R51fb59cdf04d4531" /><Relationship Type="http://schemas.openxmlformats.org/officeDocument/2006/relationships/hyperlink" Target="https://bibdigital.epn.edu.ec/handle/15000/19657" TargetMode="External" Id="R0ba3891923c5499a" /><Relationship Type="http://schemas.openxmlformats.org/officeDocument/2006/relationships/hyperlink" Target="https://bibdigital.epn.edu.ec/handle/15000/20708" TargetMode="External" Id="R6f44178869be4e7c" /><Relationship Type="http://schemas.openxmlformats.org/officeDocument/2006/relationships/hyperlink" Target="http://dspace.ucuenca.edu.ec/handle/123456789/39386" TargetMode="External" Id="R6db01ddd4068463e" /><Relationship Type="http://schemas.openxmlformats.org/officeDocument/2006/relationships/hyperlink" Target="http://dspace.ucuenca.edu.ec/handle/123456789/40089" TargetMode="External" Id="Ra016ba3e71754f94" /><Relationship Type="http://schemas.openxmlformats.org/officeDocument/2006/relationships/hyperlink" Target="https://planner.cloud.microsoft/webui/v1/plan/QMcZ9RnJo0u1ZbntBGnr0GQAEh9F?tid=86edfa31-9502-49eb-b890-085c5dd42952" TargetMode="External" Id="R18a8739dc3b84766" /><Relationship Type="http://schemas.openxmlformats.org/officeDocument/2006/relationships/hyperlink" Target="https://planner.cloud.microsoft/webui/v1/plan/ojLRjoVYykqCyvctlTT0XmQAA-wt?tid=86edfa31-9502-49eb-b890-085c5dd42952" TargetMode="External" Id="R9b948a400fa44b60" /><Relationship Type="http://schemas.openxmlformats.org/officeDocument/2006/relationships/hyperlink" Target="https://planner.cloud.microsoft/webui/v1/plan/wI4b8ueyyU-npK-uFOoLNmQAFxZ9?tid=86edfa31-9502-49eb-b890-085c5dd42952" TargetMode="External" Id="Rbeb11823cb5849c5" /><Relationship Type="http://schemas.openxmlformats.org/officeDocument/2006/relationships/hyperlink" Target="https://planner.cloud.microsoft/webui/v1/plan/QTOj_DizSUSV5Red2MR9XmQAE3XB?tid=86edfa31-9502-49eb-b890-085c5dd42952" TargetMode="External" Id="R57f80bc8a61c4636" /><Relationship Type="http://schemas.openxmlformats.org/officeDocument/2006/relationships/hyperlink" Target="https://planner.cloud.microsoft/webui/v1/plan/BoYXWFy6gkycy5Y3C1aIGGQAD7qg?tid=86edfa31-9502-49eb-b890-085c5dd42952" TargetMode="External" Id="Rf5202083d2e648a0" /><Relationship Type="http://schemas.openxmlformats.org/officeDocument/2006/relationships/hyperlink" Target="https://planner.cloud.microsoft/webui/v1/plan/iiUu0T1Z-E-SHzZE9uHHAmQADDVe?tid=86edfa31-9502-49eb-b890-085c5dd42952" TargetMode="External" Id="R66a1d52b57104afb" /><Relationship Type="http://schemas.openxmlformats.org/officeDocument/2006/relationships/hyperlink" Target="https://planner.cloud.microsoft/webui/v1/plan/_U3ht8K9jEevpsss2-4ogWQAEOQd?tid=86edfa31-9502-49eb-b890-085c5dd42952" TargetMode="External" Id="R5cdfeae573684deb" /><Relationship Type="http://schemas.openxmlformats.org/officeDocument/2006/relationships/hyperlink" Target="https://planner.cloud.microsoft/webui/v1/plan/D0hrLzVg0k6PZYLd7kFQhWQAAOIu?tid=86edfa31-9502-49eb-b890-085c5dd42952" TargetMode="External" Id="R8cbe5224903d423c" /><Relationship Type="http://schemas.openxmlformats.org/officeDocument/2006/relationships/comments" Target="/xl/comments1.xml" Id="R67b130b0b5844768" /><Relationship Type="http://schemas.openxmlformats.org/officeDocument/2006/relationships/vmlDrawing" Target="/xl/drawings/vmldrawing.vml" Id="R78cf26111bc74f6a" /><Relationship Type="http://schemas.microsoft.com/office/2017/10/relationships/threadedComment" Target="/xl/threadedcomments/threadedcomment.xml" Id="R49c6d4097abb4f6a" /><Relationship Type="http://schemas.openxmlformats.org/officeDocument/2006/relationships/table" Target="/xl/tables/table1.xml" Id="R22ab0ef5f7a744ac" /></Relationships>
</file>

<file path=xl/worksheets/_rels/sheet2.xml.rels>&#65279;<?xml version="1.0" encoding="utf-8"?><Relationships xmlns="http://schemas.openxmlformats.org/package/2006/relationships"><Relationship Type="http://schemas.openxmlformats.org/officeDocument/2006/relationships/hyperlink" Target="https://bibdigital.epn.edu.ec/handle/15000/21308" TargetMode="External" Id="R82761e29ba82466a" /><Relationship Type="http://schemas.openxmlformats.org/officeDocument/2006/relationships/hyperlink" Target="https://biblioteca.epn.edu.ec/cgi-bin/koha/opac-detail.pl?biblionumber=90860&amp;shelfbrowse_itemnumber=104686" TargetMode="External" Id="R31b5f6b562044c28" /><Relationship Type="http://schemas.openxmlformats.org/officeDocument/2006/relationships/hyperlink" Target="http://repositorio.utc.edu.ec/handle/27000/6128" TargetMode="External" Id="R278e104aad7d4c88" /><Relationship Type="http://schemas.openxmlformats.org/officeDocument/2006/relationships/hyperlink" Target="https://bibdigital.epn.edu.ec/handle/15000/11377" TargetMode="External" Id="R55b0884b747a4d61" /><Relationship Type="http://schemas.openxmlformats.org/officeDocument/2006/relationships/hyperlink" Target="https://biblioteca.epn.edu.ec/cgi-bin/koha/opac-detail.pl?biblionumber=71255" TargetMode="External" Id="R8c4fa3bcaecb4839" /><Relationship Type="http://schemas.openxmlformats.org/officeDocument/2006/relationships/hyperlink" Target="https://biblioteca.epn.edu.ec/cgi-bin/koha/opac-detail.pl?biblionumber=72019&amp;shelfbrowse_itemnumber=92568" TargetMode="External" Id="R141e47abd7c14284" /><Relationship Type="http://schemas.openxmlformats.org/officeDocument/2006/relationships/hyperlink" Target="https://biblioteca.epn.edu.ec/cgi-bin/koha/opac-detail.pl?biblionumber=73108" TargetMode="External" Id="Rf1097bd8b3244eb9" /><Relationship Type="http://schemas.openxmlformats.org/officeDocument/2006/relationships/hyperlink" Target="https://biblioteca.epn.edu.ec/cgi-bin/koha/opac-detail.pl?biblionumber=73172&amp;shelfbrowse_itemnumber=94278" TargetMode="External" Id="R3917bef26d1b476c" /><Relationship Type="http://schemas.openxmlformats.org/officeDocument/2006/relationships/hyperlink" Target="https://biblioteca.epn.edu.ec/cgi-bin/koha/opac-detail.pl?biblionumber=90342&amp;shelfbrowse_itemnumber=104123" TargetMode="External" Id="Rbf48e9c273194b03" /><Relationship Type="http://schemas.openxmlformats.org/officeDocument/2006/relationships/hyperlink" Target="https://biblioteca.epn.edu.ec/cgi-bin/koha/opac-detail.pl?biblionumber=90347" TargetMode="External" Id="R3db19c67168a4324" /><Relationship Type="http://schemas.openxmlformats.org/officeDocument/2006/relationships/hyperlink" Target="https://bibdigital.epn.edu.ec/handle/15000/20668?locale=en" TargetMode="External" Id="R71bc1337e8624649" /><Relationship Type="http://schemas.openxmlformats.org/officeDocument/2006/relationships/hyperlink" Target="http://www.dspace.uce.edu.ec/handle/25000/19959" TargetMode="External" Id="Rab4acb205b144d7c" /><Relationship Type="http://schemas.openxmlformats.org/officeDocument/2006/relationships/hyperlink" Target="http://www.dspace.uce.edu.ec/handle/25000/15216" TargetMode="External" Id="R9047d3ec0d11486f" /><Relationship Type="http://schemas.openxmlformats.org/officeDocument/2006/relationships/hyperlink" Target="http://www.dspace.uce.edu.ec/browse?type=author&amp;value=J&#225;tiva+Varela%2C+Henry+Santiago" TargetMode="External" Id="R28ab6a4235cf4531" /><Relationship Type="http://schemas.openxmlformats.org/officeDocument/2006/relationships/hyperlink" Target="https://bibdigital.epn.edu.ec/handle/15000/18887" TargetMode="External" Id="R653dee8af0ca458e" /><Relationship Type="http://schemas.openxmlformats.org/officeDocument/2006/relationships/hyperlink" Target="https://biblioteca.epn.edu.ec/cgi-bin/koha/opac-detail.pl?biblionumber=90875&amp;shelfbrowse_itemnumber=104700" TargetMode="External" Id="R806ad4c7a89144f3" /><Relationship Type="http://schemas.openxmlformats.org/officeDocument/2006/relationships/hyperlink" Target="https://bibdigital.epn.edu.ec/handle/15000/20333" TargetMode="External" Id="R9b73dd32bf3e4182" /><Relationship Type="http://schemas.openxmlformats.org/officeDocument/2006/relationships/hyperlink" Target="https://bibdigital.epn.edu.ec/handle/15000/21131" TargetMode="External" Id="R0fc9e5af8eaa4519" /><Relationship Type="http://schemas.openxmlformats.org/officeDocument/2006/relationships/hyperlink" Target="https://repositorio.ute.edu.ec/entities/publication/fd71e9f1-669d-4ceb-a607-d4ef4d37e40c" TargetMode="External" Id="R220519ce4ce04faa" /><Relationship Type="http://schemas.openxmlformats.org/officeDocument/2006/relationships/hyperlink" Target="http://repositorio.espe.edu.ec/xmlui/handle/21000/33083" TargetMode="External" Id="R0ce65737e85943ac" /><Relationship Type="http://schemas.openxmlformats.org/officeDocument/2006/relationships/hyperlink" Target="http://repositorio.espe.edu.ec/xmlui/handle/21000/32985" TargetMode="External" Id="R5859323d3a55457a" /><Relationship Type="http://schemas.openxmlformats.org/officeDocument/2006/relationships/hyperlink" Target="https://repositorio.yachaytech.edu.ec/handle/123456789/388?mode=full" TargetMode="External" Id="Rc9d7dc81a3ec427a" /><Relationship Type="http://schemas.openxmlformats.org/officeDocument/2006/relationships/hyperlink" Target="https://www.dspace.uce.edu.ec/entities/publication/e9a97f40-0f06-4aea-bb1d-28b15ba697da" TargetMode="External" Id="Rd1d3b4796e2f4f2a" /><Relationship Type="http://schemas.openxmlformats.org/officeDocument/2006/relationships/hyperlink" Target="https://repositorio.puce.edu.ec/server/api/core/bitstreams/0e402ccc-4377-4e7f-aaef-ab71514d542a/content" TargetMode="External" Id="R1e0dba9dea724207" /><Relationship Type="http://schemas.openxmlformats.org/officeDocument/2006/relationships/hyperlink" Target="https://repositorio.puce.edu.ec/server/api/core/bitstreams/f7e6c752-4d8c-4873-8b67-84ddb305b0f9/content" TargetMode="External" Id="R231aadb2cb28478c" /><Relationship Type="http://schemas.openxmlformats.org/officeDocument/2006/relationships/hyperlink" Target="https://repositorio.puce.edu.ec/server/api/core/bitstreams/6665fbfa-7bb7-4320-91d1-8362aa2eaf2e/content" TargetMode="External" Id="R6faa742561904cac" /><Relationship Type="http://schemas.openxmlformats.org/officeDocument/2006/relationships/hyperlink" Target="https://repositorio.puce.edu.ec/server/api/core/bitstreams/0494eaf1-0890-4a6d-9ba1-a153838835c8/content" TargetMode="External" Id="Rc204e7b4131440d4" /><Relationship Type="http://schemas.openxmlformats.org/officeDocument/2006/relationships/hyperlink" Target="https://bibdigital.epn.edu.ec/handle/15000/20633" TargetMode="External" Id="R47436e04782f4b78" /><Relationship Type="http://schemas.openxmlformats.org/officeDocument/2006/relationships/hyperlink" Target="https://www.sciencedirect.com/science/article/pii/S2405844022003425" TargetMode="External" Id="R70a078d18e7148ca" /><Relationship Type="http://schemas.openxmlformats.org/officeDocument/2006/relationships/hyperlink" Target="https://www.dspace.uce.edu.ec/entities/publication/1f83f8b2-c096-420f-a48c-ab0d34fd1203" TargetMode="External" Id="R9f3e9236b35f48a9" /><Relationship Type="http://schemas.openxmlformats.org/officeDocument/2006/relationships/comments" Target="/xl/comments2.xml" Id="R706711c5dcf74426" /><Relationship Type="http://schemas.openxmlformats.org/officeDocument/2006/relationships/vmlDrawing" Target="/xl/drawings/vmldrawing2.vml" Id="R9446c90f7ace43aa" /><Relationship Type="http://schemas.microsoft.com/office/2017/10/relationships/threadedComment" Target="/xl/threadedcomments/threadedcomment2.xml" Id="Ra7967cc810e54be8" /><Relationship Type="http://schemas.openxmlformats.org/officeDocument/2006/relationships/table" Target="/xl/tables/table2.xml" Id="Rfbe2fdae2d4b4af1" /></Relationships>
</file>

<file path=xl/worksheets/_rels/sheet6.xml.rels>&#65279;<?xml version="1.0" encoding="utf-8"?><Relationships xmlns="http://schemas.openxmlformats.org/package/2006/relationships"><Relationship Type="http://schemas.openxmlformats.org/officeDocument/2006/relationships/drawing" Target="/xl/drawings/drawing1.xml" Id="R657b35cd54ed410e" /></Relationships>
</file>

<file path=xl/worksheets/_rels/sheet7.xml.rels>&#65279;<?xml version="1.0" encoding="utf-8"?><Relationships xmlns="http://schemas.openxmlformats.org/package/2006/relationships"><Relationship Type="http://schemas.openxmlformats.org/officeDocument/2006/relationships/drawing" Target="/xl/drawings/drawing2.xml" Id="R7e80111e6a684ebd" /></Relationships>
</file>

<file path=xl/worksheets/_rels/sheet9.xml.rels>&#65279;<?xml version="1.0" encoding="utf-8"?><Relationships xmlns="http://schemas.openxmlformats.org/package/2006/relationships"><Relationship Type="http://schemas.openxmlformats.org/officeDocument/2006/relationships/table" Target="/xl/tables/table3.xml" Id="R22a142a495db441d" /></Relationships>
</file>

<file path=xl/worksheets/sheet1.xml><?xml version="1.0" encoding="utf-8"?>
<x:worksheet xmlns:x="http://schemas.openxmlformats.org/spreadsheetml/2006/main">
  <x:sheetFormatPr baseColWidth="10" defaultColWidth="11.44140625" defaultRowHeight="15"/>
  <x:cols>
    <x:col min="1" max="1" width="7.5546875" style="1" customWidth="1"/>
    <x:col min="2" max="2" width="35.109375" style="13" customWidth="1"/>
    <x:col min="3" max="3" width="16" style="13" customWidth="1"/>
    <x:col min="4" max="4" width="11.6640625" style="13" customWidth="1"/>
    <x:col min="5" max="5" width="11.6640625" style="10" customWidth="1"/>
    <x:col min="6" max="6" width="56.6640625" style="13" customWidth="1"/>
    <x:col min="7" max="7" width="20" style="10" customWidth="1"/>
    <x:col min="8" max="8" width="16.6640625" style="10" customWidth="1"/>
    <x:col min="9" max="9" width="17.5546875" style="10" customWidth="1"/>
    <x:col min="10" max="11" width="20.44140625" style="10" customWidth="1"/>
    <x:col min="12" max="12" width="23.33203125" style="10" customWidth="1"/>
    <x:col min="13" max="13" width="24.109375" style="11" customWidth="1"/>
    <x:col min="14" max="14" width="43.44140625" style="11" customWidth="1"/>
    <x:col min="15" max="15" width="34.88671875" style="11" customWidth="1"/>
    <x:col min="16" max="17" width="59" style="11" customWidth="1"/>
    <x:col min="18" max="18" width="53.5546875" style="11" customWidth="1"/>
    <x:col min="19" max="19" width="119.88671875" style="11" customWidth="1"/>
    <x:col min="20" max="20" width="72" style="11" customWidth="1"/>
    <x:col min="21" max="21" width="43" style="11" customWidth="1"/>
    <x:col min="22" max="22" width="104.88671875" style="11" customWidth="1"/>
    <x:col min="23" max="23" width="53.44140625" style="11" customWidth="1"/>
    <x:col min="24" max="24" width="14.33203125" style="11" customWidth="1"/>
    <x:col min="25" max="25" width="18.33203125" style="11" customWidth="1"/>
    <x:col min="26" max="26" width="14.6640625" style="11" customWidth="1"/>
    <x:col min="27" max="27" width="15.44140625" style="11" customWidth="1"/>
    <x:col min="28" max="28" width="14.6640625" style="11" customWidth="1"/>
    <x:col min="29" max="29" width="17.33203125" style="11" customWidth="1"/>
    <x:col min="30" max="30" width="21.33203125" style="11" customWidth="1"/>
    <x:col min="31" max="31" width="17.6640625" style="11" customWidth="1"/>
    <x:col min="32" max="32" width="14.6640625" style="11" customWidth="1"/>
    <x:col min="33" max="33" width="71" style="11" customWidth="1"/>
    <x:col min="34" max="34" width="80.88671875" style="11" customWidth="1"/>
    <x:col min="35" max="35" width="19.109375" style="11" customWidth="1"/>
    <x:col min="36" max="36" width="18.33203125" style="11" customWidth="1"/>
    <x:col min="37" max="37" width="20.33203125" style="11" customWidth="1"/>
    <x:col min="38" max="38" width="33.33203125" style="1" customWidth="1"/>
    <x:col min="39" max="39" width="25.33203125" style="1" customWidth="1"/>
    <x:col min="40" max="43" width="20.6640625" style="1" customWidth="1"/>
    <x:col min="44" max="44" width="18.109375" style="1" customWidth="1"/>
    <x:col min="45" max="45" width="20.6640625" style="1" customWidth="1"/>
    <x:col min="46" max="46" width="16" style="1" customWidth="1"/>
    <x:col min="47" max="47" width="28.6640625" style="1" customWidth="1"/>
    <x:col min="48" max="16384" width="11.44140625" style="1" customWidth="0"/>
  </x:cols>
  <x:sheetData>
    <x:row r="1" s="2" customFormat="1" ht="30" customHeight="1">
      <x:c r="A1" s="93" t="s">
        <x:v>0</x:v>
      </x:c>
      <x:c r="B1" s="89" t="s">
        <x:v>1</x:v>
      </x:c>
      <x:c r="C1" s="89" t="s">
        <x:v>2</x:v>
      </x:c>
      <x:c r="D1" s="89" t="s">
        <x:v>3</x:v>
      </x:c>
      <x:c r="E1" s="89" t="s">
        <x:v>4</x:v>
      </x:c>
      <x:c r="F1" s="89" t="s">
        <x:v>5</x:v>
      </x:c>
      <x:c r="G1" s="89" t="s">
        <x:v>6</x:v>
      </x:c>
      <x:c r="H1" s="89" t="s">
        <x:v>7</x:v>
      </x:c>
      <x:c r="I1" s="89" t="s">
        <x:v>8</x:v>
      </x:c>
      <x:c r="J1" s="89" t="s">
        <x:v>9</x:v>
      </x:c>
      <x:c r="K1" s="89" t="s">
        <x:v>10</x:v>
      </x:c>
      <x:c r="L1" s="89" t="s">
        <x:v>11</x:v>
      </x:c>
      <x:c r="M1" s="89" t="s">
        <x:v>12</x:v>
      </x:c>
      <x:c r="N1" s="89" t="s">
        <x:v>13</x:v>
      </x:c>
      <x:c r="O1" s="89" t="s">
        <x:v>14</x:v>
      </x:c>
      <x:c r="P1" s="89" t="s">
        <x:v>15</x:v>
      </x:c>
      <x:c r="Q1" s="89" t="s">
        <x:v>16</x:v>
      </x:c>
      <x:c r="R1" s="89" t="s">
        <x:v>17</x:v>
      </x:c>
      <x:c r="S1" s="89" t="s">
        <x:v>18</x:v>
      </x:c>
      <x:c r="T1" s="94" t="s">
        <x:v>19</x:v>
      </x:c>
      <x:c r="U1" s="89" t="s">
        <x:v>20</x:v>
      </x:c>
      <x:c r="V1" s="89" t="s">
        <x:v>21</x:v>
      </x:c>
      <x:c r="W1" s="89" t="s">
        <x:v>22</x:v>
      </x:c>
      <x:c r="X1" s="3" t="s">
        <x:v>23</x:v>
      </x:c>
      <x:c r="Y1" s="3" t="s">
        <x:v>24</x:v>
      </x:c>
      <x:c r="Z1" s="3" t="s">
        <x:v>25</x:v>
      </x:c>
      <x:c r="AA1" s="3" t="s">
        <x:v>26</x:v>
      </x:c>
      <x:c r="AB1" s="3" t="s">
        <x:v>27</x:v>
      </x:c>
      <x:c r="AC1" s="3" t="s">
        <x:v>28</x:v>
      </x:c>
      <x:c r="AD1" s="3" t="s">
        <x:v>29</x:v>
      </x:c>
      <x:c r="AE1" s="3" t="s">
        <x:v>30</x:v>
      </x:c>
      <x:c r="AF1" s="3" t="s">
        <x:v>31</x:v>
      </x:c>
      <x:c r="AG1" s="3" t="s">
        <x:v>32</x:v>
      </x:c>
      <x:c r="AH1" s="95" t="s">
        <x:v>33</x:v>
      </x:c>
      <x:c r="AI1" s="26" t="s">
        <x:v>34</x:v>
      </x:c>
      <x:c r="AJ1" s="26" t="s">
        <x:v>35</x:v>
      </x:c>
      <x:c r="AK1" s="26" t="s">
        <x:v>36</x:v>
      </x:c>
      <x:c r="AL1" s="26" t="s">
        <x:v>37</x:v>
      </x:c>
      <x:c r="AM1" s="89" t="s">
        <x:v>38</x:v>
      </x:c>
      <x:c r="AN1" s="57" t="s">
        <x:v>39</x:v>
      </x:c>
      <x:c r="AO1" s="57" t="s">
        <x:v>40</x:v>
      </x:c>
      <x:c r="AP1" s="57" t="s">
        <x:v>41</x:v>
      </x:c>
      <x:c r="AQ1" s="57" t="s">
        <x:v>42</x:v>
      </x:c>
      <x:c r="AR1" s="57" t="s">
        <x:v>43</x:v>
      </x:c>
      <x:c r="AS1" s="57" t="s">
        <x:v>44</x:v>
      </x:c>
      <x:c r="AT1" s="57" t="s">
        <x:v>45</x:v>
      </x:c>
      <x:c r="AU1" s="96" t="s">
        <x:v>46</x:v>
      </x:c>
    </x:row>
    <x:row r="2" s="2" customFormat="1" ht="68.25" customHeight="1">
      <x:c r="A2" s="108">
        <x:v>1</x:v>
      </x:c>
      <x:c r="B2" s="6" t="s">
        <x:v>47</x:v>
      </x:c>
      <x:c r="C2" s="6" t="s">
        <x:v>48</x:v>
      </x:c>
      <x:c r="D2" s="6">
        <x:v>2018</x:v>
      </x:c>
      <x:c r="E2" s="6">
        <x:v>2019</x:v>
      </x:c>
      <x:c r="F2" s="109" t="s">
        <x:v>49</x:v>
      </x:c>
      <x:c r="G2" s="6" t="s">
        <x:v>50</x:v>
      </x:c>
      <x:c r="H2" s="6" t="s">
        <x:v>51</x:v>
      </x:c>
      <x:c r="I2" s="6" t="s">
        <x:v>52</x:v>
      </x:c>
      <x:c r="J2" s="6"/>
      <x:c r="K2" s="6" t="s">
        <x:v>53</x:v>
      </x:c>
      <x:c r="L2" s="6"/>
      <x:c r="M2" s="6"/>
      <x:c r="N2" s="6" t="s">
        <x:v>54</x:v>
      </x:c>
      <x:c r="O2" s="6"/>
      <x:c r="P2" s="6" t="s">
        <x:v>55</x:v>
      </x:c>
      <x:c r="Q2" s="6"/>
      <x:c r="R2" s="6" t="s">
        <x:v>56</x:v>
      </x:c>
      <x:c r="S2" s="6" t="s">
        <x:v>57</x:v>
      </x:c>
      <x:c r="T2" s="91" t="s">
        <x:v>58</x:v>
      </x:c>
      <x:c r="U2" s="6"/>
      <x:c r="V2" s="6" t="s">
        <x:v>59</x:v>
      </x:c>
      <x:c r="W2" s="6"/>
      <x:c r="X2" s="6"/>
      <x:c r="Y2" s="6"/>
      <x:c r="Z2" s="6"/>
      <x:c r="AA2" s="6"/>
      <x:c r="AB2" s="6"/>
      <x:c r="AC2" s="6"/>
      <x:c r="AD2" s="6"/>
      <x:c r="AE2" s="6" t="s">
        <x:v>60</x:v>
      </x:c>
      <x:c r="AF2" s="6"/>
      <x:c r="AG2" s="6"/>
      <x:c r="AH2" s="38" t="s">
        <x:v>30</x:v>
      </x:c>
      <x:c r="AI2" s="35">
        <x:v>75</x:v>
      </x:c>
      <x:c r="AJ2" s="35">
        <x:v>75</x:v>
      </x:c>
      <x:c r="AK2" s="35">
        <x:v>75</x:v>
      </x:c>
      <x:c r="AL2" s="32" t="n">
        <x:f t="shared" ref="AL2:AL26" si="0">SUM(AI2:AK2)/3</x:f>
        <x:v>75</x:v>
      </x:c>
      <x:c r="AM2" s="6" t="s">
        <x:v>50</x:v>
      </x:c>
      <x:c r="AN2" s="6">
        <x:v>798</x:v>
      </x:c>
      <x:c r="AO2" s="6">
        <x:v>1130</x:v>
      </x:c>
      <x:c r="AP2" s="6"/>
      <x:c r="AQ2" s="6">
        <x:v>780</x:v>
      </x:c>
      <x:c r="AR2" s="6">
        <x:v>20</x:v>
      </x:c>
      <x:c r="AS2" s="6"/>
      <x:c r="AT2" s="6" t="n">
        <x:f t="shared" ref="AT2:AT17" si="1">SUM(AN2:AS2)</x:f>
        <x:v>2728</x:v>
      </x:c>
      <x:c r="AU2" s="105" t="s">
        <x:v>61</x:v>
      </x:c>
    </x:row>
    <x:row r="3" ht="64.5" hidden="1" customHeight="1">
      <x:c r="A3" s="110">
        <x:v>2</x:v>
      </x:c>
      <x:c r="B3" s="6" t="s">
        <x:v>62</x:v>
      </x:c>
      <x:c r="C3" s="6" t="s">
        <x:v>48</x:v>
      </x:c>
      <x:c r="D3" s="6">
        <x:v>2018</x:v>
      </x:c>
      <x:c r="E3" s="6">
        <x:v>2019</x:v>
      </x:c>
      <x:c r="F3" s="109" t="s">
        <x:v>63</x:v>
      </x:c>
      <x:c r="G3" s="6" t="s">
        <x:v>50</x:v>
      </x:c>
      <x:c r="H3" s="6" t="s">
        <x:v>51</x:v>
      </x:c>
      <x:c r="I3" s="6" t="s">
        <x:v>52</x:v>
      </x:c>
      <x:c r="J3" s="6"/>
      <x:c r="K3" s="6" t="s">
        <x:v>64</x:v>
      </x:c>
      <x:c r="L3" s="6"/>
      <x:c r="M3" s="6"/>
      <x:c r="N3" s="6" t="s">
        <x:v>65</x:v>
      </x:c>
      <x:c r="O3" s="6" t="s">
        <x:v>66</x:v>
      </x:c>
      <x:c r="P3" s="6" t="s">
        <x:v>67</x:v>
      </x:c>
      <x:c r="Q3" s="6"/>
      <x:c r="R3" s="6" t="s">
        <x:v>68</x:v>
      </x:c>
      <x:c r="S3" s="6" t="s">
        <x:v>69</x:v>
      </x:c>
      <x:c r="T3" s="91" t="s">
        <x:v>70</x:v>
      </x:c>
      <x:c r="U3" s="6" t="s">
        <x:v>71</x:v>
      </x:c>
      <x:c r="V3" s="6" t="s">
        <x:v>72</x:v>
      </x:c>
      <x:c r="W3" s="6"/>
      <x:c r="X3" s="6"/>
      <x:c r="Y3" s="6"/>
      <x:c r="Z3" s="6"/>
      <x:c r="AA3" s="6"/>
      <x:c r="AB3" s="6"/>
      <x:c r="AC3" s="6" t="s">
        <x:v>60</x:v>
      </x:c>
      <x:c r="AD3" s="6"/>
      <x:c r="AE3" s="6"/>
      <x:c r="AF3" s="6"/>
      <x:c r="AG3" s="6"/>
      <x:c r="AH3" s="63" t="s">
        <x:v>28</x:v>
      </x:c>
      <x:c r="AI3" s="35">
        <x:v>75</x:v>
      </x:c>
      <x:c r="AJ3" s="36">
        <x:v>62.5</x:v>
      </x:c>
      <x:c r="AK3" s="35">
        <x:v>87.5</x:v>
      </x:c>
      <x:c r="AL3" s="32">
        <x:f t="shared" si="0"/>
        <x:v>75</x:v>
      </x:c>
      <x:c r="AM3" s="6" t="s">
        <x:v>50</x:v>
      </x:c>
      <x:c r="AN3" s="6">
        <x:v>900</x:v>
      </x:c>
      <x:c r="AO3" s="6">
        <x:v>700</x:v>
      </x:c>
      <x:c r="AP3" s="6">
        <x:v>500</x:v>
      </x:c>
      <x:c r="AQ3" s="6"/>
      <x:c r="AR3" s="6"/>
      <x:c r="AS3" s="6">
        <x:v>200</x:v>
      </x:c>
      <x:c r="AT3" s="6">
        <x:f t="shared" si="1"/>
        <x:v>2300</x:v>
      </x:c>
      <x:c r="AU3" s="105" t="s">
        <x:v>73</x:v>
      </x:c>
    </x:row>
    <x:row r="4" ht="100.5" hidden="1" customHeight="1">
      <x:c r="A4" s="111">
        <x:v>3</x:v>
      </x:c>
      <x:c r="B4" s="6" t="s">
        <x:v>74</x:v>
      </x:c>
      <x:c r="C4" s="6" t="s">
        <x:v>48</x:v>
      </x:c>
      <x:c r="D4" s="6">
        <x:v>2018</x:v>
      </x:c>
      <x:c r="E4" s="6">
        <x:v>2019</x:v>
      </x:c>
      <x:c r="F4" s="109" t="s">
        <x:v>75</x:v>
      </x:c>
      <x:c r="G4" s="6" t="s">
        <x:v>76</x:v>
      </x:c>
      <x:c r="H4" s="6" t="s">
        <x:v>77</x:v>
      </x:c>
      <x:c r="I4" s="6" t="s">
        <x:v>78</x:v>
      </x:c>
      <x:c r="J4" s="6"/>
      <x:c r="K4" s="6" t="s">
        <x:v>79</x:v>
      </x:c>
      <x:c r="L4" s="6"/>
      <x:c r="M4" s="6"/>
      <x:c r="N4" s="6" t="s">
        <x:v>65</x:v>
      </x:c>
      <x:c r="O4" s="6" t="s">
        <x:v>66</x:v>
      </x:c>
      <x:c r="P4" s="6" t="s">
        <x:v>80</x:v>
      </x:c>
      <x:c r="Q4" s="6"/>
      <x:c r="R4" s="6" t="s">
        <x:v>81</x:v>
      </x:c>
      <x:c r="S4" s="6" t="s">
        <x:v>82</x:v>
      </x:c>
      <x:c r="T4" s="91" t="s">
        <x:v>83</x:v>
      </x:c>
      <x:c r="U4" s="6" t="s">
        <x:v>84</x:v>
      </x:c>
      <x:c r="V4" s="6" t="s">
        <x:v>85</x:v>
      </x:c>
      <x:c r="W4" s="6"/>
      <x:c r="X4" s="6"/>
      <x:c r="Y4" s="6"/>
      <x:c r="Z4" s="6"/>
      <x:c r="AA4" s="6" t="s">
        <x:v>60</x:v>
      </x:c>
      <x:c r="AB4" s="6"/>
      <x:c r="AC4" s="6"/>
      <x:c r="AD4" s="6"/>
      <x:c r="AE4" s="6"/>
      <x:c r="AF4" s="6"/>
      <x:c r="AG4" s="6"/>
      <x:c r="AH4" s="64" t="s">
        <x:v>26</x:v>
      </x:c>
      <x:c r="AI4" s="36">
        <x:v>62.5</x:v>
      </x:c>
      <x:c r="AJ4" s="36">
        <x:v>58.3</x:v>
      </x:c>
      <x:c r="AK4" s="36">
        <x:v>56.3</x:v>
      </x:c>
      <x:c r="AL4" s="33">
        <x:f t="shared" si="0"/>
        <x:v>59.033333333333331</x:v>
      </x:c>
      <x:c r="AM4" s="6" t="s">
        <x:v>76</x:v>
      </x:c>
      <x:c r="AN4" s="6">
        <x:v>400</x:v>
      </x:c>
      <x:c r="AO4" s="6">
        <x:v>70</x:v>
      </x:c>
      <x:c r="AP4" s="6">
        <x:v>800</x:v>
      </x:c>
      <x:c r="AQ4" s="6"/>
      <x:c r="AR4" s="6"/>
      <x:c r="AS4" s="6"/>
      <x:c r="AT4" s="6">
        <x:f t="shared" si="1"/>
        <x:v>1270</x:v>
      </x:c>
      <x:c r="AU4" s="105" t="s">
        <x:v>86</x:v>
      </x:c>
    </x:row>
    <x:row r="5" ht="186" hidden="1" customHeight="1">
      <x:c r="A5" s="111">
        <x:v>4</x:v>
      </x:c>
      <x:c r="B5" s="6" t="s">
        <x:v>87</x:v>
      </x:c>
      <x:c r="C5" s="6" t="s">
        <x:v>48</x:v>
      </x:c>
      <x:c r="D5" s="6"/>
      <x:c r="E5" s="6">
        <x:v>2021</x:v>
      </x:c>
      <x:c r="F5" s="109" t="s">
        <x:v>88</x:v>
      </x:c>
      <x:c r="G5" s="6" t="s">
        <x:v>89</x:v>
      </x:c>
      <x:c r="H5" s="6" t="s">
        <x:v>77</x:v>
      </x:c>
      <x:c r="I5" s="6" t="s">
        <x:v>90</x:v>
      </x:c>
      <x:c r="J5" s="6"/>
      <x:c r="K5" s="6"/>
      <x:c r="L5" s="6"/>
      <x:c r="M5" s="6"/>
      <x:c r="N5" s="6" t="s">
        <x:v>65</x:v>
      </x:c>
      <x:c r="O5" s="6" t="s">
        <x:v>66</x:v>
      </x:c>
      <x:c r="P5" s="6" t="s">
        <x:v>91</x:v>
      </x:c>
      <x:c r="Q5" s="6"/>
      <x:c r="R5" s="6" t="s">
        <x:v>92</x:v>
      </x:c>
      <x:c r="S5" s="6" t="s">
        <x:v>93</x:v>
      </x:c>
      <x:c r="T5" s="91" t="s">
        <x:v>94</x:v>
      </x:c>
      <x:c r="U5" s="6" t="s">
        <x:v>95</x:v>
      </x:c>
      <x:c r="V5" s="6" t="s">
        <x:v>96</x:v>
      </x:c>
      <x:c r="W5" s="6"/>
      <x:c r="X5" s="6"/>
      <x:c r="Y5" s="6"/>
      <x:c r="Z5" s="6"/>
      <x:c r="AA5" s="6" t="s">
        <x:v>60</x:v>
      </x:c>
      <x:c r="AB5" s="6"/>
      <x:c r="AC5" s="6"/>
      <x:c r="AD5" s="6"/>
      <x:c r="AE5" s="6"/>
      <x:c r="AF5" s="6"/>
      <x:c r="AG5" s="6"/>
      <x:c r="AH5" s="64" t="s">
        <x:v>26</x:v>
      </x:c>
      <x:c r="AI5" s="36">
        <x:v>66.7</x:v>
      </x:c>
      <x:c r="AJ5" s="36">
        <x:v>66.7</x:v>
      </x:c>
      <x:c r="AK5" s="36">
        <x:v>50</x:v>
      </x:c>
      <x:c r="AL5" s="33">
        <x:f t="shared" si="0"/>
        <x:v>61.133333333333333</x:v>
      </x:c>
      <x:c r="AM5" s="6"/>
      <x:c r="AN5" s="6"/>
      <x:c r="AO5" s="6">
        <x:v>1600</x:v>
      </x:c>
      <x:c r="AP5" s="6">
        <x:v>600</x:v>
      </x:c>
      <x:c r="AQ5" s="6">
        <x:v>788</x:v>
      </x:c>
      <x:c r="AR5" s="6"/>
      <x:c r="AS5" s="6"/>
      <x:c r="AT5" s="6">
        <x:f t="shared" si="1"/>
        <x:v>2988</x:v>
      </x:c>
      <x:c r="AU5" s="105" t="s">
        <x:v>97</x:v>
      </x:c>
    </x:row>
    <x:row r="6" ht="144" hidden="1" customHeight="1">
      <x:c r="A6" s="110">
        <x:v>5</x:v>
      </x:c>
      <x:c r="B6" s="6" t="s">
        <x:v>98</x:v>
      </x:c>
      <x:c r="C6" s="6" t="s">
        <x:v>48</x:v>
      </x:c>
      <x:c r="D6" s="6"/>
      <x:c r="E6" s="6">
        <x:v>2018</x:v>
      </x:c>
      <x:c r="F6" s="109" t="s">
        <x:v>99</x:v>
      </x:c>
      <x:c r="G6" s="6" t="s">
        <x:v>50</x:v>
      </x:c>
      <x:c r="H6" s="6" t="s">
        <x:v>51</x:v>
      </x:c>
      <x:c r="I6" s="6" t="s">
        <x:v>52</x:v>
      </x:c>
      <x:c r="J6" s="6"/>
      <x:c r="K6" s="6"/>
      <x:c r="L6" s="6"/>
      <x:c r="M6" s="6"/>
      <x:c r="N6" s="6" t="s">
        <x:v>100</x:v>
      </x:c>
      <x:c r="O6" s="6" t="s">
        <x:v>101</x:v>
      </x:c>
      <x:c r="P6" s="6" t="s">
        <x:v>102</x:v>
      </x:c>
      <x:c r="Q6" s="6"/>
      <x:c r="R6" s="6" t="s">
        <x:v>101</x:v>
      </x:c>
      <x:c r="S6" s="6" t="s">
        <x:v>103</x:v>
      </x:c>
      <x:c r="T6" s="91" t="s">
        <x:v>104</x:v>
      </x:c>
      <x:c r="U6" s="6" t="s">
        <x:v>105</x:v>
      </x:c>
      <x:c r="V6" s="6" t="s">
        <x:v>106</x:v>
      </x:c>
      <x:c r="W6" s="6" t="s">
        <x:v>107</x:v>
      </x:c>
      <x:c r="X6" s="6"/>
      <x:c r="Y6" s="6"/>
      <x:c r="Z6" s="6"/>
      <x:c r="AA6" s="6"/>
      <x:c r="AB6" s="6"/>
      <x:c r="AC6" s="6" t="s">
        <x:v>60</x:v>
      </x:c>
      <x:c r="AD6" s="6"/>
      <x:c r="AE6" s="6"/>
      <x:c r="AF6" s="6"/>
      <x:c r="AG6" s="6"/>
      <x:c r="AH6" s="63" t="s">
        <x:v>28</x:v>
      </x:c>
      <x:c r="AI6" s="35">
        <x:v>100</x:v>
      </x:c>
      <x:c r="AJ6" s="35">
        <x:v>75</x:v>
      </x:c>
      <x:c r="AK6" s="35">
        <x:v>100</x:v>
      </x:c>
      <x:c r="AL6" s="32">
        <x:f t="shared" si="0"/>
        <x:v>91.666666666666671</x:v>
      </x:c>
      <x:c r="AM6" s="6" t="s">
        <x:v>50</x:v>
      </x:c>
      <x:c r="AN6" s="6">
        <x:v>936</x:v>
      </x:c>
      <x:c r="AO6" s="6"/>
      <x:c r="AP6" s="6">
        <x:v>500</x:v>
      </x:c>
      <x:c r="AQ6" s="6"/>
      <x:c r="AR6" s="6"/>
      <x:c r="AS6" s="6"/>
      <x:c r="AT6" s="6">
        <x:f t="shared" si="1"/>
        <x:v>1436</x:v>
      </x:c>
      <x:c r="AU6" s="105" t="s">
        <x:v>108</x:v>
      </x:c>
    </x:row>
    <x:row r="7" ht="193.1999969482422" customHeight="1">
      <x:c r="A7" s="112">
        <x:v>6</x:v>
      </x:c>
      <x:c r="B7" s="6" t="s">
        <x:v>109</x:v>
      </x:c>
      <x:c r="C7" s="6" t="s">
        <x:v>48</x:v>
      </x:c>
      <x:c r="D7" s="6"/>
      <x:c r="E7" s="6">
        <x:v>2021</x:v>
      </x:c>
      <x:c r="F7" s="109" t="s">
        <x:v>110</x:v>
      </x:c>
      <x:c r="G7" s="6" t="s">
        <x:v>111</x:v>
      </x:c>
      <x:c r="H7" s="6" t="s">
        <x:v>112</x:v>
      </x:c>
      <x:c r="I7" s="6" t="s">
        <x:v>113</x:v>
      </x:c>
      <x:c r="J7" s="6"/>
      <x:c r="K7" s="6"/>
      <x:c r="L7" s="6"/>
      <x:c r="M7" s="6"/>
      <x:c r="N7" s="6" t="s">
        <x:v>100</x:v>
      </x:c>
      <x:c r="O7" s="6" t="s">
        <x:v>114</x:v>
      </x:c>
      <x:c r="P7" s="6" t="s">
        <x:v>115</x:v>
      </x:c>
      <x:c r="Q7" s="6"/>
      <x:c r="R7" s="6" t="s">
        <x:v>116</x:v>
      </x:c>
      <x:c r="S7" s="6" t="s">
        <x:v>117</x:v>
      </x:c>
      <x:c r="T7" s="91" t="s">
        <x:v>118</x:v>
      </x:c>
      <x:c r="U7" s="6" t="s">
        <x:v>119</x:v>
      </x:c>
      <x:c r="V7" s="6" t="s">
        <x:v>120</x:v>
      </x:c>
      <x:c r="W7" s="6"/>
      <x:c r="X7" s="6" t="s">
        <x:v>60</x:v>
      </x:c>
      <x:c r="Y7" s="6"/>
      <x:c r="Z7" s="6"/>
      <x:c r="AA7" s="6"/>
      <x:c r="AB7" s="6"/>
      <x:c r="AC7" s="6"/>
      <x:c r="AD7" s="6"/>
      <x:c r="AE7" s="6"/>
      <x:c r="AF7" s="6"/>
      <x:c r="AG7" s="6"/>
      <x:c r="AH7" s="62" t="s">
        <x:v>23</x:v>
      </x:c>
      <x:c r="AI7" s="35">
        <x:v>87.5</x:v>
      </x:c>
      <x:c r="AJ7" s="36">
        <x:v>50</x:v>
      </x:c>
      <x:c r="AK7" s="36">
        <x:v>50</x:v>
      </x:c>
      <x:c r="AL7" s="33">
        <x:f t="shared" si="0"/>
        <x:v>62.5</x:v>
      </x:c>
      <x:c r="AM7" s="6"/>
      <x:c r="AN7" s="6">
        <x:v>50</x:v>
      </x:c>
      <x:c r="AO7" s="6">
        <x:v>2100</x:v>
      </x:c>
      <x:c r="AP7" s="6"/>
      <x:c r="AQ7" s="6">
        <x:v>788</x:v>
      </x:c>
      <x:c r="AR7" s="6"/>
      <x:c r="AS7" s="6"/>
      <x:c r="AT7" s="6">
        <x:f t="shared" si="1"/>
        <x:v>2938</x:v>
      </x:c>
      <x:c r="AU7" s="105" t="s">
        <x:v>121</x:v>
      </x:c>
    </x:row>
    <x:row r="8" ht="163.9499969482422" hidden="1" customHeight="1">
      <x:c r="A8" s="113">
        <x:v>7</x:v>
      </x:c>
      <x:c r="B8" s="6" t="s">
        <x:v>122</x:v>
      </x:c>
      <x:c r="C8" s="6" t="s">
        <x:v>48</x:v>
      </x:c>
      <x:c r="D8" s="6"/>
      <x:c r="E8" s="6">
        <x:v>2017</x:v>
      </x:c>
      <x:c r="F8" s="109" t="s">
        <x:v>123</x:v>
      </x:c>
      <x:c r="G8" s="6" t="s">
        <x:v>124</x:v>
      </x:c>
      <x:c r="H8" s="6" t="s">
        <x:v>125</x:v>
      </x:c>
      <x:c r="I8" s="6" t="s">
        <x:v>126</x:v>
      </x:c>
      <x:c r="J8" s="6"/>
      <x:c r="K8" s="6"/>
      <x:c r="L8" s="6"/>
      <x:c r="M8" s="6"/>
      <x:c r="N8" s="6" t="s">
        <x:v>127</x:v>
      </x:c>
      <x:c r="O8" s="6" t="s">
        <x:v>66</x:v>
      </x:c>
      <x:c r="P8" s="6" t="s">
        <x:v>128</x:v>
      </x:c>
      <x:c r="Q8" s="6"/>
      <x:c r="R8" s="6" t="s">
        <x:v>129</x:v>
      </x:c>
      <x:c r="S8" s="6" t="s">
        <x:v>130</x:v>
      </x:c>
      <x:c r="T8" s="91" t="s">
        <x:v>131</x:v>
      </x:c>
      <x:c r="U8" s="6" t="s">
        <x:v>132</x:v>
      </x:c>
      <x:c r="V8" s="6" t="s">
        <x:v>133</x:v>
      </x:c>
      <x:c r="W8" s="6" t="s">
        <x:v>134</x:v>
      </x:c>
      <x:c r="X8" s="6"/>
      <x:c r="Y8" s="6"/>
      <x:c r="Z8" s="6" t="s">
        <x:v>60</x:v>
      </x:c>
      <x:c r="AA8" s="6"/>
      <x:c r="AB8" s="6"/>
      <x:c r="AC8" s="6"/>
      <x:c r="AD8" s="6"/>
      <x:c r="AE8" s="6"/>
      <x:c r="AF8" s="6"/>
      <x:c r="AG8" s="6"/>
      <x:c r="AH8" s="37" t="s">
        <x:v>25</x:v>
      </x:c>
      <x:c r="AI8" s="35">
        <x:v>87.5</x:v>
      </x:c>
      <x:c r="AJ8" s="37">
        <x:v>37.5</x:v>
      </x:c>
      <x:c r="AK8" s="37">
        <x:v>37.5</x:v>
      </x:c>
      <x:c r="AL8" s="33">
        <x:f t="shared" si="0"/>
        <x:v>54.166666666666664</x:v>
      </x:c>
      <x:c r="AM8" s="6" t="s">
        <x:v>135</x:v>
      </x:c>
      <x:c r="AN8" s="6"/>
      <x:c r="AO8" s="6"/>
      <x:c r="AP8" s="6">
        <x:v>240</x:v>
      </x:c>
      <x:c r="AQ8" s="6"/>
      <x:c r="AR8" s="6">
        <x:v>60</x:v>
      </x:c>
      <x:c r="AS8" s="6"/>
      <x:c r="AT8" s="6">
        <x:f t="shared" si="1"/>
        <x:v>300</x:v>
      </x:c>
      <x:c r="AU8" s="106"/>
    </x:row>
    <x:row r="9" ht="177" hidden="1" customHeight="1">
      <x:c r="A9" s="111">
        <x:v>8</x:v>
      </x:c>
      <x:c r="B9" s="6" t="s">
        <x:v>136</x:v>
      </x:c>
      <x:c r="C9" s="6" t="s">
        <x:v>48</x:v>
      </x:c>
      <x:c r="D9" s="6"/>
      <x:c r="E9" s="6">
        <x:v>2019</x:v>
      </x:c>
      <x:c r="F9" s="109" t="s">
        <x:v>137</x:v>
      </x:c>
      <x:c r="G9" s="6" t="s">
        <x:v>76</x:v>
      </x:c>
      <x:c r="H9" s="6" t="s">
        <x:v>77</x:v>
      </x:c>
      <x:c r="I9" s="6" t="s">
        <x:v>138</x:v>
      </x:c>
      <x:c r="J9" s="6"/>
      <x:c r="K9" s="6"/>
      <x:c r="L9" s="6"/>
      <x:c r="M9" s="6"/>
      <x:c r="N9" s="6" t="s">
        <x:v>65</x:v>
      </x:c>
      <x:c r="O9" s="6" t="s">
        <x:v>66</x:v>
      </x:c>
      <x:c r="P9" s="6" t="s">
        <x:v>139</x:v>
      </x:c>
      <x:c r="Q9" s="6"/>
      <x:c r="R9" s="6" t="s">
        <x:v>140</x:v>
      </x:c>
      <x:c r="S9" s="6" t="s">
        <x:v>141</x:v>
      </x:c>
      <x:c r="T9" s="91" t="s">
        <x:v>142</x:v>
      </x:c>
      <x:c r="U9" s="6" t="s">
        <x:v>143</x:v>
      </x:c>
      <x:c r="V9" s="6" t="s">
        <x:v>144</x:v>
      </x:c>
      <x:c r="W9" s="6" t="s">
        <x:v>145</x:v>
      </x:c>
      <x:c r="X9" s="6"/>
      <x:c r="Y9" s="6"/>
      <x:c r="Z9" s="6"/>
      <x:c r="AA9" s="6" t="s">
        <x:v>60</x:v>
      </x:c>
      <x:c r="AB9" s="6"/>
      <x:c r="AC9" s="6"/>
      <x:c r="AD9" s="6"/>
      <x:c r="AE9" s="6"/>
      <x:c r="AF9" s="6"/>
      <x:c r="AG9" s="6"/>
      <x:c r="AH9" s="64" t="s">
        <x:v>26</x:v>
      </x:c>
      <x:c r="AI9" s="35">
        <x:v>87.5</x:v>
      </x:c>
      <x:c r="AJ9" s="35">
        <x:v>75</x:v>
      </x:c>
      <x:c r="AK9" s="35">
        <x:v>75</x:v>
      </x:c>
      <x:c r="AL9" s="32">
        <x:f t="shared" si="0"/>
        <x:v>79.166666666666671</x:v>
      </x:c>
      <x:c r="AM9" s="6" t="s">
        <x:v>76</x:v>
      </x:c>
      <x:c r="AN9" s="6"/>
      <x:c r="AO9" s="6"/>
      <x:c r="AP9" s="6">
        <x:v>2100</x:v>
      </x:c>
      <x:c r="AQ9" s="6"/>
      <x:c r="AR9" s="6"/>
      <x:c r="AS9" s="6"/>
      <x:c r="AT9" s="6">
        <x:f t="shared" si="1"/>
        <x:v>2100</x:v>
      </x:c>
      <x:c r="AU9" s="105" t="s">
        <x:v>146</x:v>
      </x:c>
    </x:row>
    <x:row r="10" ht="123" hidden="1" customHeight="1">
      <x:c r="A10" s="111">
        <x:v>9</x:v>
      </x:c>
      <x:c r="B10" s="6" t="s">
        <x:v>147</x:v>
      </x:c>
      <x:c r="C10" s="6" t="s">
        <x:v>48</x:v>
      </x:c>
      <x:c r="D10" s="6"/>
      <x:c r="E10" s="6">
        <x:v>2019</x:v>
      </x:c>
      <x:c r="F10" s="109" t="s">
        <x:v>148</x:v>
      </x:c>
      <x:c r="G10" s="6" t="s">
        <x:v>89</x:v>
      </x:c>
      <x:c r="H10" s="6" t="s">
        <x:v>77</x:v>
      </x:c>
      <x:c r="I10" s="6" t="s">
        <x:v>90</x:v>
      </x:c>
      <x:c r="J10" s="6"/>
      <x:c r="K10" s="6"/>
      <x:c r="L10" s="6"/>
      <x:c r="M10" s="6"/>
      <x:c r="N10" s="6" t="s">
        <x:v>65</x:v>
      </x:c>
      <x:c r="O10" s="6" t="s">
        <x:v>66</x:v>
      </x:c>
      <x:c r="P10" s="6" t="s">
        <x:v>149</x:v>
      </x:c>
      <x:c r="Q10" s="6"/>
      <x:c r="R10" s="6" t="s">
        <x:v>150</x:v>
      </x:c>
      <x:c r="S10" s="6" t="s">
        <x:v>151</x:v>
      </x:c>
      <x:c r="T10" s="91" t="s">
        <x:v>152</x:v>
      </x:c>
      <x:c r="U10" s="6" t="s">
        <x:v>153</x:v>
      </x:c>
      <x:c r="V10" s="6" t="s">
        <x:v>96</x:v>
      </x:c>
      <x:c r="W10" s="6"/>
      <x:c r="X10" s="6"/>
      <x:c r="Y10" s="6"/>
      <x:c r="Z10" s="6"/>
      <x:c r="AA10" s="6" t="s">
        <x:v>60</x:v>
      </x:c>
      <x:c r="AB10" s="6"/>
      <x:c r="AC10" s="6"/>
      <x:c r="AD10" s="6"/>
      <x:c r="AE10" s="6"/>
      <x:c r="AF10" s="6"/>
      <x:c r="AG10" s="6"/>
      <x:c r="AH10" s="64" t="s">
        <x:v>26</x:v>
      </x:c>
      <x:c r="AI10" s="35">
        <x:v>87.5</x:v>
      </x:c>
      <x:c r="AJ10" s="35">
        <x:v>87.5</x:v>
      </x:c>
      <x:c r="AK10" s="35">
        <x:v>87.5</x:v>
      </x:c>
      <x:c r="AL10" s="32">
        <x:f t="shared" si="0"/>
        <x:v>87.5</x:v>
      </x:c>
      <x:c r="AM10" s="6"/>
      <x:c r="AN10" s="6"/>
      <x:c r="AO10" s="6"/>
      <x:c r="AP10" s="6">
        <x:v>540</x:v>
      </x:c>
      <x:c r="AQ10" s="6"/>
      <x:c r="AR10" s="6"/>
      <x:c r="AS10" s="6"/>
      <x:c r="AT10" s="6">
        <x:f t="shared" si="1"/>
        <x:v>540</x:v>
      </x:c>
      <x:c r="AU10" s="105" t="s">
        <x:v>154</x:v>
      </x:c>
    </x:row>
    <x:row r="11" ht="139.1999969482422" hidden="1" customHeight="1">
      <x:c r="A11" s="111">
        <x:v>10</x:v>
      </x:c>
      <x:c r="B11" s="6" t="s">
        <x:v>155</x:v>
      </x:c>
      <x:c r="C11" s="6" t="s">
        <x:v>48</x:v>
      </x:c>
      <x:c r="D11" s="6"/>
      <x:c r="E11" s="6">
        <x:v>2020</x:v>
      </x:c>
      <x:c r="F11" s="109" t="s">
        <x:v>156</x:v>
      </x:c>
      <x:c r="G11" s="6" t="s">
        <x:v>76</x:v>
      </x:c>
      <x:c r="H11" s="6" t="s">
        <x:v>77</x:v>
      </x:c>
      <x:c r="I11" s="6" t="s">
        <x:v>157</x:v>
      </x:c>
      <x:c r="J11" s="6"/>
      <x:c r="K11" s="6"/>
      <x:c r="L11" s="6"/>
      <x:c r="M11" s="6"/>
      <x:c r="N11" s="6" t="s">
        <x:v>65</x:v>
      </x:c>
      <x:c r="O11" s="6" t="s">
        <x:v>66</x:v>
      </x:c>
      <x:c r="P11" s="6" t="s">
        <x:v>158</x:v>
      </x:c>
      <x:c r="Q11" s="6"/>
      <x:c r="R11" s="6" t="s">
        <x:v>159</x:v>
      </x:c>
      <x:c r="S11" s="6" t="s">
        <x:v>160</x:v>
      </x:c>
      <x:c r="T11" s="91" t="s">
        <x:v>161</x:v>
      </x:c>
      <x:c r="U11" s="6" t="s">
        <x:v>162</x:v>
      </x:c>
      <x:c r="V11" s="6" t="s">
        <x:v>163</x:v>
      </x:c>
      <x:c r="W11" s="6"/>
      <x:c r="X11" s="6"/>
      <x:c r="Y11" s="6"/>
      <x:c r="Z11" s="6"/>
      <x:c r="AA11" s="6" t="s">
        <x:v>60</x:v>
      </x:c>
      <x:c r="AB11" s="6"/>
      <x:c r="AC11" s="6"/>
      <x:c r="AD11" s="6"/>
      <x:c r="AE11" s="6"/>
      <x:c r="AF11" s="6"/>
      <x:c r="AG11" s="6"/>
      <x:c r="AH11" s="64" t="s">
        <x:v>26</x:v>
      </x:c>
      <x:c r="AI11" s="37">
        <x:v>37.5</x:v>
      </x:c>
      <x:c r="AJ11" s="38">
        <x:v>12.5</x:v>
      </x:c>
      <x:c r="AK11" s="37">
        <x:v>37.5</x:v>
      </x:c>
      <x:c r="AL11" s="34">
        <x:f t="shared" si="0"/>
        <x:v>29.166666666666668</x:v>
      </x:c>
      <x:c r="AM11" s="6" t="s">
        <x:v>76</x:v>
      </x:c>
      <x:c r="AN11" s="6"/>
      <x:c r="AO11" s="6">
        <x:v>140</x:v>
      </x:c>
      <x:c r="AP11" s="6">
        <x:v>200</x:v>
      </x:c>
      <x:c r="AQ11" s="6"/>
      <x:c r="AR11" s="6"/>
      <x:c r="AS11" s="6"/>
      <x:c r="AT11" s="6">
        <x:f t="shared" si="1"/>
        <x:v>340</x:v>
      </x:c>
      <x:c r="AU11" s="105" t="s">
        <x:v>164</x:v>
      </x:c>
    </x:row>
    <x:row r="12" ht="176.39999389648438" hidden="1" customHeight="1">
      <x:c r="A12" s="110">
        <x:v>11</x:v>
      </x:c>
      <x:c r="B12" s="6" t="s">
        <x:v>165</x:v>
      </x:c>
      <x:c r="C12" s="6" t="s">
        <x:v>48</x:v>
      </x:c>
      <x:c r="D12" s="6"/>
      <x:c r="E12" s="6">
        <x:v>2019</x:v>
      </x:c>
      <x:c r="F12" s="109" t="s">
        <x:v>166</x:v>
      </x:c>
      <x:c r="G12" s="6" t="s">
        <x:v>76</x:v>
      </x:c>
      <x:c r="H12" s="6" t="s">
        <x:v>167</x:v>
      </x:c>
      <x:c r="I12" s="6" t="s">
        <x:v>168</x:v>
      </x:c>
      <x:c r="J12" s="6"/>
      <x:c r="K12" s="6"/>
      <x:c r="L12" s="6"/>
      <x:c r="M12" s="6"/>
      <x:c r="N12" s="6" t="s">
        <x:v>100</x:v>
      </x:c>
      <x:c r="O12" s="6" t="s">
        <x:v>101</x:v>
      </x:c>
      <x:c r="P12" s="6" t="s">
        <x:v>169</x:v>
      </x:c>
      <x:c r="Q12" s="6"/>
      <x:c r="R12" s="6" t="s">
        <x:v>101</x:v>
      </x:c>
      <x:c r="S12" s="6" t="s">
        <x:v>170</x:v>
      </x:c>
      <x:c r="T12" s="91" t="s">
        <x:v>171</x:v>
      </x:c>
      <x:c r="U12" s="6" t="s">
        <x:v>172</x:v>
      </x:c>
      <x:c r="V12" s="6" t="s">
        <x:v>173</x:v>
      </x:c>
      <x:c r="W12" s="6"/>
      <x:c r="X12" s="6"/>
      <x:c r="Y12" s="6"/>
      <x:c r="Z12" s="6"/>
      <x:c r="AA12" s="6"/>
      <x:c r="AB12" s="6"/>
      <x:c r="AC12" s="6" t="s">
        <x:v>60</x:v>
      </x:c>
      <x:c r="AD12" s="6"/>
      <x:c r="AE12" s="6"/>
      <x:c r="AF12" s="6"/>
      <x:c r="AG12" s="6"/>
      <x:c r="AH12" s="63" t="s">
        <x:v>28</x:v>
      </x:c>
      <x:c r="AI12" s="35">
        <x:v>100</x:v>
      </x:c>
      <x:c r="AJ12" s="35">
        <x:v>75</x:v>
      </x:c>
      <x:c r="AK12" s="35">
        <x:v>100</x:v>
      </x:c>
      <x:c r="AL12" s="32">
        <x:f t="shared" si="0"/>
        <x:v>91.666666666666671</x:v>
      </x:c>
      <x:c r="AM12" s="6" t="s">
        <x:v>76</x:v>
      </x:c>
      <x:c r="AN12" s="6"/>
      <x:c r="AO12" s="6">
        <x:v>1100</x:v>
      </x:c>
      <x:c r="AP12" s="6">
        <x:v>300</x:v>
      </x:c>
      <x:c r="AQ12" s="6">
        <x:v>300</x:v>
      </x:c>
      <x:c r="AR12" s="6">
        <x:v>60</x:v>
      </x:c>
      <x:c r="AS12" s="6">
        <x:v>200</x:v>
      </x:c>
      <x:c r="AT12" s="6">
        <x:f t="shared" si="1"/>
        <x:v>1960</x:v>
      </x:c>
      <x:c r="AU12" s="105" t="s">
        <x:v>174</x:v>
      </x:c>
    </x:row>
    <x:row r="13" ht="191.39999389648438" hidden="1" customHeight="1">
      <x:c r="A13" s="114">
        <x:v>12</x:v>
      </x:c>
      <x:c r="B13" s="6" t="s">
        <x:v>175</x:v>
      </x:c>
      <x:c r="C13" s="6" t="s">
        <x:v>48</x:v>
      </x:c>
      <x:c r="D13" s="6"/>
      <x:c r="E13" s="6">
        <x:v>2019</x:v>
      </x:c>
      <x:c r="F13" s="109" t="s">
        <x:v>176</x:v>
      </x:c>
      <x:c r="G13" s="6" t="s">
        <x:v>177</x:v>
      </x:c>
      <x:c r="H13" s="6" t="s">
        <x:v>178</x:v>
      </x:c>
      <x:c r="I13" s="6" t="s">
        <x:v>179</x:v>
      </x:c>
      <x:c r="J13" s="6"/>
      <x:c r="K13" s="6"/>
      <x:c r="L13" s="6"/>
      <x:c r="M13" s="6"/>
      <x:c r="N13" s="6" t="s">
        <x:v>65</x:v>
      </x:c>
      <x:c r="O13" s="6" t="s">
        <x:v>66</x:v>
      </x:c>
      <x:c r="P13" s="6" t="s">
        <x:v>180</x:v>
      </x:c>
      <x:c r="Q13" s="6"/>
      <x:c r="R13" s="6" t="s">
        <x:v>181</x:v>
      </x:c>
      <x:c r="S13" s="6" t="s">
        <x:v>182</x:v>
      </x:c>
      <x:c r="T13" s="91" t="s">
        <x:v>183</x:v>
      </x:c>
      <x:c r="U13" s="6" t="s">
        <x:v>184</x:v>
      </x:c>
      <x:c r="V13" s="6" t="s">
        <x:v>185</x:v>
      </x:c>
      <x:c r="W13" s="6" t="s">
        <x:v>186</x:v>
      </x:c>
      <x:c r="X13" s="6"/>
      <x:c r="Y13" s="6" t="s">
        <x:v>60</x:v>
      </x:c>
      <x:c r="Z13" s="6"/>
      <x:c r="AA13" s="6"/>
      <x:c r="AB13" s="6"/>
      <x:c r="AC13" s="6"/>
      <x:c r="AD13" s="6"/>
      <x:c r="AE13" s="6"/>
      <x:c r="AF13" s="6"/>
      <x:c r="AG13" s="6"/>
      <x:c r="AH13" s="65" t="s">
        <x:v>24</x:v>
      </x:c>
      <x:c r="AI13" s="35">
        <x:v>87.5</x:v>
      </x:c>
      <x:c r="AJ13" s="36">
        <x:v>62.5</x:v>
      </x:c>
      <x:c r="AK13" s="35">
        <x:v>87.5</x:v>
      </x:c>
      <x:c r="AL13" s="32">
        <x:f t="shared" si="0"/>
        <x:v>79.166666666666671</x:v>
      </x:c>
      <x:c r="AM13" s="6" t="s">
        <x:v>177</x:v>
      </x:c>
      <x:c r="AN13" s="6">
        <x:v>227.25</x:v>
      </x:c>
      <x:c r="AO13" s="6">
        <x:v>1500</x:v>
      </x:c>
      <x:c r="AP13" s="6">
        <x:v>300</x:v>
      </x:c>
      <x:c r="AQ13" s="6"/>
      <x:c r="AR13" s="6">
        <x:v>150</x:v>
      </x:c>
      <x:c r="AS13" s="6"/>
      <x:c r="AT13" s="6">
        <x:f t="shared" si="1"/>
        <x:v>2177.25</x:v>
      </x:c>
      <x:c r="AU13" s="105" t="s">
        <x:v>187</x:v>
      </x:c>
    </x:row>
    <x:row r="14" ht="100.94999694824219" hidden="1" customHeight="1">
      <x:c r="A14" s="111">
        <x:v>13</x:v>
      </x:c>
      <x:c r="B14" s="6" t="s">
        <x:v>188</x:v>
      </x:c>
      <x:c r="C14" s="6" t="s">
        <x:v>48</x:v>
      </x:c>
      <x:c r="D14" s="6"/>
      <x:c r="E14" s="6">
        <x:v>2019</x:v>
      </x:c>
      <x:c r="F14" s="109" t="s">
        <x:v>189</x:v>
      </x:c>
      <x:c r="G14" s="6" t="s">
        <x:v>190</x:v>
      </x:c>
      <x:c r="H14" s="6" t="s">
        <x:v>191</x:v>
      </x:c>
      <x:c r="I14" s="6" t="s">
        <x:v>192</x:v>
      </x:c>
      <x:c r="J14" s="6"/>
      <x:c r="K14" s="6"/>
      <x:c r="L14" s="6"/>
      <x:c r="M14" s="6"/>
      <x:c r="N14" s="6" t="s">
        <x:v>65</x:v>
      </x:c>
      <x:c r="O14" s="6" t="s">
        <x:v>66</x:v>
      </x:c>
      <x:c r="P14" s="6" t="s">
        <x:v>193</x:v>
      </x:c>
      <x:c r="Q14" s="6"/>
      <x:c r="R14" s="6" t="s">
        <x:v>194</x:v>
      </x:c>
      <x:c r="S14" s="6" t="s">
        <x:v>195</x:v>
      </x:c>
      <x:c r="T14" s="91" t="s">
        <x:v>196</x:v>
      </x:c>
      <x:c r="U14" s="6" t="s">
        <x:v>197</x:v>
      </x:c>
      <x:c r="V14" s="6" t="s">
        <x:v>198</x:v>
      </x:c>
      <x:c r="W14" s="6"/>
      <x:c r="X14" s="6"/>
      <x:c r="Y14" s="6"/>
      <x:c r="Z14" s="6"/>
      <x:c r="AA14" s="6" t="s">
        <x:v>60</x:v>
      </x:c>
      <x:c r="AB14" s="6"/>
      <x:c r="AC14" s="6"/>
      <x:c r="AD14" s="6"/>
      <x:c r="AE14" s="6"/>
      <x:c r="AF14" s="6"/>
      <x:c r="AG14" s="6"/>
      <x:c r="AH14" s="64" t="s">
        <x:v>26</x:v>
      </x:c>
      <x:c r="AI14" s="36">
        <x:v>66.7</x:v>
      </x:c>
      <x:c r="AJ14" s="36">
        <x:v>66.7</x:v>
      </x:c>
      <x:c r="AK14" s="35">
        <x:v>75</x:v>
      </x:c>
      <x:c r="AL14" s="33">
        <x:f t="shared" si="0"/>
        <x:v>69.466666666666669</x:v>
      </x:c>
      <x:c r="AM14" s="6" t="s">
        <x:v>177</x:v>
      </x:c>
      <x:c r="AN14" s="6">
        <x:v>200</x:v>
      </x:c>
      <x:c r="AO14" s="6">
        <x:v>202.5</x:v>
      </x:c>
      <x:c r="AP14" s="6">
        <x:v>320</x:v>
      </x:c>
      <x:c r="AQ14" s="6">
        <x:v>774</x:v>
      </x:c>
      <x:c r="AR14" s="6"/>
      <x:c r="AS14" s="6"/>
      <x:c r="AT14" s="6">
        <x:f t="shared" si="1"/>
        <x:v>1496.5</x:v>
      </x:c>
      <x:c r="AU14" s="105" t="s">
        <x:v>199</x:v>
      </x:c>
    </x:row>
    <x:row r="15" ht="115.94999694824219" customHeight="1">
      <x:c r="A15" s="114">
        <x:v>14</x:v>
      </x:c>
      <x:c r="B15" s="6" t="s">
        <x:v>200</x:v>
      </x:c>
      <x:c r="C15" s="6" t="s">
        <x:v>48</x:v>
      </x:c>
      <x:c r="D15" s="6"/>
      <x:c r="E15" s="6">
        <x:v>2020</x:v>
      </x:c>
      <x:c r="F15" s="109" t="s">
        <x:v>201</x:v>
      </x:c>
      <x:c r="G15" s="6" t="s">
        <x:v>202</x:v>
      </x:c>
      <x:c r="H15" s="6" t="s">
        <x:v>203</x:v>
      </x:c>
      <x:c r="I15" s="6" t="s">
        <x:v>204</x:v>
      </x:c>
      <x:c r="J15" s="6"/>
      <x:c r="K15" s="6"/>
      <x:c r="L15" s="6"/>
      <x:c r="M15" s="6"/>
      <x:c r="N15" s="6" t="s">
        <x:v>205</x:v>
      </x:c>
      <x:c r="O15" s="6" t="s">
        <x:v>206</x:v>
      </x:c>
      <x:c r="P15" s="6" t="s">
        <x:v>207</x:v>
      </x:c>
      <x:c r="Q15" s="6"/>
      <x:c r="R15" s="6" t="s">
        <x:v>208</x:v>
      </x:c>
      <x:c r="S15" s="6" t="s">
        <x:v>209</x:v>
      </x:c>
      <x:c r="T15" s="91" t="s">
        <x:v>210</x:v>
      </x:c>
      <x:c r="U15" s="6" t="s">
        <x:v>211</x:v>
      </x:c>
      <x:c r="V15" s="6" t="s">
        <x:v>212</x:v>
      </x:c>
      <x:c r="W15" s="6" t="s">
        <x:v>213</x:v>
      </x:c>
      <x:c r="X15" s="6"/>
      <x:c r="Y15" s="6" t="s">
        <x:v>60</x:v>
      </x:c>
      <x:c r="Z15" s="6"/>
      <x:c r="AA15" s="6"/>
      <x:c r="AB15" s="6"/>
      <x:c r="AC15" s="6"/>
      <x:c r="AD15" s="6"/>
      <x:c r="AE15" s="6"/>
      <x:c r="AF15" s="6"/>
      <x:c r="AG15" s="6"/>
      <x:c r="AH15" s="65" t="s">
        <x:v>24</x:v>
      </x:c>
      <x:c r="AI15" s="35">
        <x:v>87.5</x:v>
      </x:c>
      <x:c r="AJ15" s="35">
        <x:v>75</x:v>
      </x:c>
      <x:c r="AK15" s="36">
        <x:v>66.7</x:v>
      </x:c>
      <x:c r="AL15" s="32">
        <x:f t="shared" si="0"/>
        <x:v>76.399999999999991</x:v>
      </x:c>
      <x:c r="AM15" s="6"/>
      <x:c r="AN15" s="6"/>
      <x:c r="AO15" s="6">
        <x:v>500</x:v>
      </x:c>
      <x:c r="AP15" s="6">
        <x:v>200</x:v>
      </x:c>
      <x:c r="AQ15" s="6">
        <x:v>772</x:v>
      </x:c>
      <x:c r="AR15" s="6">
        <x:v>528</x:v>
      </x:c>
      <x:c r="AS15" s="6"/>
      <x:c r="AT15" s="6">
        <x:f t="shared" si="1"/>
        <x:v>2000</x:v>
      </x:c>
      <x:c r="AU15" s="105" t="s">
        <x:v>214</x:v>
      </x:c>
    </x:row>
    <x:row r="16" ht="145.9499969482422" customHeight="1">
      <x:c r="A16" s="114">
        <x:v>15</x:v>
      </x:c>
      <x:c r="B16" s="6" t="s">
        <x:v>215</x:v>
      </x:c>
      <x:c r="C16" s="6" t="s">
        <x:v>48</x:v>
      </x:c>
      <x:c r="D16" s="6"/>
      <x:c r="E16" s="6">
        <x:v>2018</x:v>
      </x:c>
      <x:c r="F16" s="109" t="s">
        <x:v>216</x:v>
      </x:c>
      <x:c r="G16" s="6" t="s">
        <x:v>50</x:v>
      </x:c>
      <x:c r="H16" s="6" t="s">
        <x:v>51</x:v>
      </x:c>
      <x:c r="I16" s="6" t="s">
        <x:v>217</x:v>
      </x:c>
      <x:c r="J16" s="6"/>
      <x:c r="K16" s="6"/>
      <x:c r="L16" s="6"/>
      <x:c r="M16" s="6"/>
      <x:c r="N16" s="6" t="s">
        <x:v>218</x:v>
      </x:c>
      <x:c r="O16" s="6" t="s">
        <x:v>219</x:v>
      </x:c>
      <x:c r="P16" s="6" t="s">
        <x:v>220</x:v>
      </x:c>
      <x:c r="Q16" s="6"/>
      <x:c r="R16" s="6" t="s">
        <x:v>221</x:v>
      </x:c>
      <x:c r="S16" s="6" t="s">
        <x:v>222</x:v>
      </x:c>
      <x:c r="T16" s="91" t="s">
        <x:v>223</x:v>
      </x:c>
      <x:c r="U16" s="6" t="s">
        <x:v>224</x:v>
      </x:c>
      <x:c r="V16" s="6" t="s">
        <x:v>225</x:v>
      </x:c>
      <x:c r="W16" s="6" t="s">
        <x:v>226</x:v>
      </x:c>
      <x:c r="X16" s="6"/>
      <x:c r="Y16" s="6" t="s">
        <x:v>60</x:v>
      </x:c>
      <x:c r="Z16" s="6"/>
      <x:c r="AA16" s="6"/>
      <x:c r="AB16" s="6"/>
      <x:c r="AC16" s="6"/>
      <x:c r="AD16" s="6"/>
      <x:c r="AE16" s="6"/>
      <x:c r="AF16" s="6"/>
      <x:c r="AG16" s="6"/>
      <x:c r="AH16" s="65" t="s">
        <x:v>24</x:v>
      </x:c>
      <x:c r="AI16" s="35">
        <x:v>87.5</x:v>
      </x:c>
      <x:c r="AJ16" s="37">
        <x:v>41.7</x:v>
      </x:c>
      <x:c r="AK16" s="37">
        <x:v>41.7</x:v>
      </x:c>
      <x:c r="AL16" s="33">
        <x:f t="shared" si="0"/>
        <x:v>56.966666666666661</x:v>
      </x:c>
      <x:c r="AM16" s="6" t="s">
        <x:v>50</x:v>
      </x:c>
      <x:c r="AN16" s="6"/>
      <x:c r="AO16" s="6"/>
      <x:c r="AP16" s="6">
        <x:v>360</x:v>
      </x:c>
      <x:c r="AQ16" s="6">
        <x:v>2200</x:v>
      </x:c>
      <x:c r="AR16" s="6">
        <x:v>250</x:v>
      </x:c>
      <x:c r="AS16" s="6"/>
      <x:c r="AT16" s="6">
        <x:f t="shared" si="1"/>
        <x:v>2810</x:v>
      </x:c>
      <x:c r="AU16" s="105" t="s">
        <x:v>227</x:v>
      </x:c>
    </x:row>
    <x:row r="17" ht="185.39999389648438" customHeight="1">
      <x:c r="A17" s="114">
        <x:v>16</x:v>
      </x:c>
      <x:c r="B17" s="6" t="s">
        <x:v>228</x:v>
      </x:c>
      <x:c r="C17" s="6" t="s">
        <x:v>48</x:v>
      </x:c>
      <x:c r="D17" s="6"/>
      <x:c r="E17" s="6">
        <x:v>2020</x:v>
      </x:c>
      <x:c r="F17" s="115" t="s">
        <x:v>229</x:v>
      </x:c>
      <x:c r="G17" s="6" t="s">
        <x:v>50</x:v>
      </x:c>
      <x:c r="H17" s="6" t="s">
        <x:v>51</x:v>
      </x:c>
      <x:c r="I17" s="6" t="s">
        <x:v>217</x:v>
      </x:c>
      <x:c r="J17" s="6"/>
      <x:c r="K17" s="6"/>
      <x:c r="L17" s="6"/>
      <x:c r="M17" s="6"/>
      <x:c r="N17" s="6" t="s">
        <x:v>218</x:v>
      </x:c>
      <x:c r="O17" s="6" t="s">
        <x:v>219</x:v>
      </x:c>
      <x:c r="P17" s="6" t="s">
        <x:v>230</x:v>
      </x:c>
      <x:c r="Q17" s="6"/>
      <x:c r="R17" s="6" t="s">
        <x:v>231</x:v>
      </x:c>
      <x:c r="S17" s="6" t="s">
        <x:v>232</x:v>
      </x:c>
      <x:c r="T17" s="91" t="s">
        <x:v>233</x:v>
      </x:c>
      <x:c r="U17" s="6" t="s">
        <x:v>234</x:v>
      </x:c>
      <x:c r="V17" s="6" t="s">
        <x:v>225</x:v>
      </x:c>
      <x:c r="W17" s="6" t="s">
        <x:v>235</x:v>
      </x:c>
      <x:c r="X17" s="6"/>
      <x:c r="Y17" s="6" t="s">
        <x:v>60</x:v>
      </x:c>
      <x:c r="Z17" s="6"/>
      <x:c r="AA17" s="6"/>
      <x:c r="AB17" s="6"/>
      <x:c r="AC17" s="6"/>
      <x:c r="AD17" s="6"/>
      <x:c r="AE17" s="6"/>
      <x:c r="AF17" s="6"/>
      <x:c r="AG17" s="6"/>
      <x:c r="AH17" s="65" t="s">
        <x:v>24</x:v>
      </x:c>
      <x:c r="AI17" s="35">
        <x:v>75</x:v>
      </x:c>
      <x:c r="AJ17" s="37">
        <x:v>25</x:v>
      </x:c>
      <x:c r="AK17" s="37">
        <x:v>25</x:v>
      </x:c>
      <x:c r="AL17" s="34">
        <x:f t="shared" si="0"/>
        <x:v>41.666666666666664</x:v>
      </x:c>
      <x:c r="AM17" s="6" t="s">
        <x:v>50</x:v>
      </x:c>
      <x:c r="AN17" s="6"/>
      <x:c r="AO17" s="6"/>
      <x:c r="AP17" s="6">
        <x:v>250</x:v>
      </x:c>
      <x:c r="AQ17" s="6">
        <x:v>772</x:v>
      </x:c>
      <x:c r="AR17" s="6">
        <x:v>465</x:v>
      </x:c>
      <x:c r="AS17" s="6"/>
      <x:c r="AT17" s="6">
        <x:f t="shared" si="1"/>
        <x:v>1487</x:v>
      </x:c>
      <x:c r="AU17" s="105" t="s">
        <x:v>227</x:v>
      </x:c>
    </x:row>
    <x:row r="18" ht="204" hidden="1" customHeight="1">
      <x:c r="A18" s="114">
        <x:v>17.100000000000001</x:v>
      </x:c>
      <x:c r="B18" s="6" t="s">
        <x:v>236</x:v>
      </x:c>
      <x:c r="C18" s="6" t="s">
        <x:v>48</x:v>
      </x:c>
      <x:c r="D18" s="6"/>
      <x:c r="E18" s="6">
        <x:v>2022</x:v>
      </x:c>
      <x:c r="F18" s="6" t="s">
        <x:v>237</x:v>
      </x:c>
      <x:c r="G18" s="6" t="s">
        <x:v>238</x:v>
      </x:c>
      <x:c r="H18" s="6" t="s">
        <x:v>239</x:v>
      </x:c>
      <x:c r="I18" s="6" t="s">
        <x:v>240</x:v>
      </x:c>
      <x:c r="J18" s="6"/>
      <x:c r="K18" s="6"/>
      <x:c r="L18" s="6"/>
      <x:c r="M18" s="6"/>
      <x:c r="N18" s="6" t="s">
        <x:v>241</x:v>
      </x:c>
      <x:c r="O18" s="6" t="s">
        <x:v>242</x:v>
      </x:c>
      <x:c r="P18" s="6" t="s">
        <x:v>243</x:v>
      </x:c>
      <x:c r="Q18" s="6"/>
      <x:c r="R18" s="6" t="s">
        <x:v>244</x:v>
      </x:c>
      <x:c r="S18" s="6" t="s">
        <x:v>245</x:v>
      </x:c>
      <x:c r="T18" s="91" t="s">
        <x:v>246</x:v>
      </x:c>
      <x:c r="U18" s="6" t="s">
        <x:v>247</x:v>
      </x:c>
      <x:c r="V18" s="6" t="s">
        <x:v>248</x:v>
      </x:c>
      <x:c r="W18" s="6"/>
      <x:c r="X18" s="6"/>
      <x:c r="Y18" s="6" t="s">
        <x:v>60</x:v>
      </x:c>
      <x:c r="Z18" s="6"/>
      <x:c r="AA18" s="6"/>
      <x:c r="AB18" s="6"/>
      <x:c r="AC18" s="6"/>
      <x:c r="AD18" s="6"/>
      <x:c r="AE18" s="6"/>
      <x:c r="AF18" s="6"/>
      <x:c r="AG18" s="6"/>
      <x:c r="AH18" s="65" t="s">
        <x:v>24</x:v>
      </x:c>
      <x:c r="AI18" s="35">
        <x:v>75</x:v>
      </x:c>
      <x:c r="AJ18" s="36">
        <x:v>66.7</x:v>
      </x:c>
      <x:c r="AK18" s="35">
        <x:v>87.5</x:v>
      </x:c>
      <x:c r="AL18" s="32">
        <x:f t="shared" si="0"/>
        <x:v>76.399999999999991</x:v>
      </x:c>
      <x:c r="AM18" s="6"/>
      <x:c r="AN18" s="6"/>
      <x:c r="AO18" s="6"/>
      <x:c r="AP18" s="6"/>
      <x:c r="AQ18" s="6"/>
      <x:c r="AR18" s="6"/>
      <x:c r="AS18" s="6"/>
      <x:c r="AT18" s="6"/>
      <x:c r="AU18" s="91"/>
    </x:row>
    <x:row r="19" ht="273" hidden="1" customHeight="1">
      <x:c r="A19" s="114">
        <x:v>17.2</x:v>
      </x:c>
      <x:c r="B19" s="6" t="s">
        <x:v>249</x:v>
      </x:c>
      <x:c r="C19" s="6" t="s">
        <x:v>48</x:v>
      </x:c>
      <x:c r="D19" s="6"/>
      <x:c r="E19" s="6">
        <x:v>2021</x:v>
      </x:c>
      <x:c r="F19" s="6" t="s">
        <x:v>250</x:v>
      </x:c>
      <x:c r="G19" s="6" t="s">
        <x:v>238</x:v>
      </x:c>
      <x:c r="H19" s="6" t="s">
        <x:v>239</x:v>
      </x:c>
      <x:c r="I19" s="6" t="s">
        <x:v>240</x:v>
      </x:c>
      <x:c r="J19" s="6"/>
      <x:c r="K19" s="6"/>
      <x:c r="L19" s="6"/>
      <x:c r="M19" s="6"/>
      <x:c r="N19" s="6" t="s">
        <x:v>241</x:v>
      </x:c>
      <x:c r="O19" s="6" t="s">
        <x:v>242</x:v>
      </x:c>
      <x:c r="P19" s="6" t="s">
        <x:v>251</x:v>
      </x:c>
      <x:c r="Q19" s="6"/>
      <x:c r="R19" s="6" t="s">
        <x:v>252</x:v>
      </x:c>
      <x:c r="S19" s="6" t="s">
        <x:v>253</x:v>
      </x:c>
      <x:c r="T19" s="91" t="s">
        <x:v>254</x:v>
      </x:c>
      <x:c r="U19" s="6"/>
      <x:c r="V19" s="6" t="s">
        <x:v>248</x:v>
      </x:c>
      <x:c r="W19" s="6"/>
      <x:c r="X19" s="6"/>
      <x:c r="Y19" s="6" t="s">
        <x:v>60</x:v>
      </x:c>
      <x:c r="Z19" s="6"/>
      <x:c r="AA19" s="6"/>
      <x:c r="AB19" s="6"/>
      <x:c r="AC19" s="6"/>
      <x:c r="AD19" s="6"/>
      <x:c r="AE19" s="6"/>
      <x:c r="AF19" s="6"/>
      <x:c r="AG19" s="6"/>
      <x:c r="AH19" s="65" t="s">
        <x:v>24</x:v>
      </x:c>
      <x:c r="AI19" s="36">
        <x:v>62.5</x:v>
      </x:c>
      <x:c r="AJ19" s="36">
        <x:v>66.7</x:v>
      </x:c>
      <x:c r="AK19" s="35">
        <x:v>75</x:v>
      </x:c>
      <x:c r="AL19" s="33">
        <x:f t="shared" si="0"/>
        <x:v>68.066666666666663</x:v>
      </x:c>
      <x:c r="AM19" s="6"/>
      <x:c r="AN19" s="6"/>
      <x:c r="AO19" s="6"/>
      <x:c r="AP19" s="6"/>
      <x:c r="AQ19" s="6"/>
      <x:c r="AR19" s="6"/>
      <x:c r="AS19" s="6"/>
      <x:c r="AT19" s="6"/>
      <x:c r="AU19" s="91"/>
    </x:row>
    <x:row r="20" ht="204.60000610351562" hidden="1" customHeight="1">
      <x:c r="A20" s="110">
        <x:v>18.100000000000001</x:v>
      </x:c>
      <x:c r="B20" s="6" t="s">
        <x:v>255</x:v>
      </x:c>
      <x:c r="C20" s="6" t="s">
        <x:v>48</x:v>
      </x:c>
      <x:c r="D20" s="6">
        <x:v>2021</x:v>
      </x:c>
      <x:c r="E20" s="6">
        <x:v>2022</x:v>
      </x:c>
      <x:c r="F20" s="6" t="s">
        <x:v>256</x:v>
      </x:c>
      <x:c r="G20" s="6" t="s">
        <x:v>238</x:v>
      </x:c>
      <x:c r="H20" s="6" t="s">
        <x:v>239</x:v>
      </x:c>
      <x:c r="I20" s="6" t="s">
        <x:v>257</x:v>
      </x:c>
      <x:c r="J20" s="6"/>
      <x:c r="K20" s="6"/>
      <x:c r="L20" s="6"/>
      <x:c r="M20" s="6"/>
      <x:c r="N20" s="6" t="s">
        <x:v>100</x:v>
      </x:c>
      <x:c r="O20" s="6" t="s">
        <x:v>258</x:v>
      </x:c>
      <x:c r="P20" s="6" t="s">
        <x:v>259</x:v>
      </x:c>
      <x:c r="Q20" s="6"/>
      <x:c r="R20" s="6" t="s">
        <x:v>260</x:v>
      </x:c>
      <x:c r="S20" s="6" t="s">
        <x:v>261</x:v>
      </x:c>
      <x:c r="T20" s="91" t="s">
        <x:v>262</x:v>
      </x:c>
      <x:c r="U20" s="6" t="s">
        <x:v>263</x:v>
      </x:c>
      <x:c r="V20" s="6" t="s">
        <x:v>264</x:v>
      </x:c>
      <x:c r="W20" s="6" t="s">
        <x:v>265</x:v>
      </x:c>
      <x:c r="X20" s="6"/>
      <x:c r="Y20" s="6"/>
      <x:c r="Z20" s="6"/>
      <x:c r="AA20" s="6"/>
      <x:c r="AB20" s="6"/>
      <x:c r="AC20" s="6" t="s">
        <x:v>60</x:v>
      </x:c>
      <x:c r="AD20" s="6"/>
      <x:c r="AE20" s="6"/>
      <x:c r="AF20" s="6"/>
      <x:c r="AG20" s="6"/>
      <x:c r="AH20" s="63" t="s">
        <x:v>28</x:v>
      </x:c>
      <x:c r="AI20" s="36">
        <x:v>66.7</x:v>
      </x:c>
      <x:c r="AJ20" s="36">
        <x:v>50</x:v>
      </x:c>
      <x:c r="AK20" s="36">
        <x:v>50</x:v>
      </x:c>
      <x:c r="AL20" s="33">
        <x:f t="shared" si="0"/>
        <x:v>55.566666666666663</x:v>
      </x:c>
      <x:c r="AM20" s="6"/>
      <x:c r="AN20" s="86"/>
      <x:c r="AO20" s="86">
        <x:v>1019.5999999999999</x:v>
      </x:c>
      <x:c r="AP20" s="86">
        <x:v>719.33</x:v>
      </x:c>
      <x:c r="AQ20" s="86"/>
      <x:c r="AR20" s="86"/>
      <x:c r="AS20" s="86"/>
      <x:c r="AT20" s="86" t="n">
        <x:f t="shared" ref="AT20:AT31" si="2">SUM(AN20:AS20)</x:f>
        <x:v>1738.9299999999998</x:v>
      </x:c>
      <x:c r="AU20" s="92" t="s">
        <x:v>266</x:v>
      </x:c>
    </x:row>
    <x:row r="21" ht="179.39999389648438" hidden="1" customHeight="1">
      <x:c r="A21" s="110">
        <x:v>18.2</x:v>
      </x:c>
      <x:c r="B21" s="6" t="s">
        <x:v>267</x:v>
      </x:c>
      <x:c r="C21" s="6" t="s">
        <x:v>48</x:v>
      </x:c>
      <x:c r="D21" s="6">
        <x:v>2021</x:v>
      </x:c>
      <x:c r="E21" s="6">
        <x:v>2022</x:v>
      </x:c>
      <x:c r="F21" s="6" t="s">
        <x:v>268</x:v>
      </x:c>
      <x:c r="G21" s="6" t="s">
        <x:v>238</x:v>
      </x:c>
      <x:c r="H21" s="6" t="s">
        <x:v>239</x:v>
      </x:c>
      <x:c r="I21" s="6" t="s">
        <x:v>257</x:v>
      </x:c>
      <x:c r="J21" s="6"/>
      <x:c r="K21" s="6"/>
      <x:c r="L21" s="6"/>
      <x:c r="M21" s="6"/>
      <x:c r="N21" s="6" t="s">
        <x:v>100</x:v>
      </x:c>
      <x:c r="O21" s="6" t="s">
        <x:v>101</x:v>
      </x:c>
      <x:c r="P21" s="6" t="s">
        <x:v>269</x:v>
      </x:c>
      <x:c r="Q21" s="6"/>
      <x:c r="R21" s="6" t="s">
        <x:v>101</x:v>
      </x:c>
      <x:c r="S21" s="6" t="s">
        <x:v>270</x:v>
      </x:c>
      <x:c r="T21" s="91" t="s">
        <x:v>271</x:v>
      </x:c>
      <x:c r="U21" s="6"/>
      <x:c r="V21" s="6" t="s">
        <x:v>272</x:v>
      </x:c>
      <x:c r="W21" s="6"/>
      <x:c r="X21" s="6"/>
      <x:c r="Y21" s="6"/>
      <x:c r="Z21" s="6"/>
      <x:c r="AA21" s="6"/>
      <x:c r="AB21" s="6"/>
      <x:c r="AC21" s="6" t="s">
        <x:v>60</x:v>
      </x:c>
      <x:c r="AD21" s="6"/>
      <x:c r="AE21" s="6"/>
      <x:c r="AF21" s="6"/>
      <x:c r="AG21" s="6"/>
      <x:c r="AH21" s="63" t="s">
        <x:v>28</x:v>
      </x:c>
      <x:c r="AI21" s="35">
        <x:v>87.5</x:v>
      </x:c>
      <x:c r="AJ21" s="36">
        <x:v>66.7</x:v>
      </x:c>
      <x:c r="AK21" s="35">
        <x:v>100</x:v>
      </x:c>
      <x:c r="AL21" s="32">
        <x:f t="shared" si="0"/>
        <x:v>84.733333333333334</x:v>
      </x:c>
      <x:c r="AM21" s="6"/>
      <x:c r="AN21" s="87"/>
      <x:c r="AO21" s="87"/>
      <x:c r="AP21" s="87"/>
      <x:c r="AQ21" s="87"/>
      <x:c r="AR21" s="87"/>
      <x:c r="AS21" s="87"/>
      <x:c r="AT21" s="87">
        <x:f t="shared" si="2"/>
        <x:v>0</x:v>
      </x:c>
      <x:c r="AU21" s="120"/>
    </x:row>
    <x:row r="22" ht="216" hidden="1">
      <x:c r="A22" s="114">
        <x:v>18.3</x:v>
      </x:c>
      <x:c r="B22" s="6" t="s">
        <x:v>273</x:v>
      </x:c>
      <x:c r="C22" s="6" t="s">
        <x:v>48</x:v>
      </x:c>
      <x:c r="D22" s="6">
        <x:v>2021</x:v>
      </x:c>
      <x:c r="E22" s="6">
        <x:v>2022</x:v>
      </x:c>
      <x:c r="F22" s="6" t="s">
        <x:v>274</x:v>
      </x:c>
      <x:c r="G22" s="6" t="s">
        <x:v>238</x:v>
      </x:c>
      <x:c r="H22" s="6" t="s">
        <x:v>239</x:v>
      </x:c>
      <x:c r="I22" s="6" t="s">
        <x:v>257</x:v>
      </x:c>
      <x:c r="J22" s="6"/>
      <x:c r="K22" s="6"/>
      <x:c r="L22" s="6"/>
      <x:c r="M22" s="6"/>
      <x:c r="N22" s="6" t="s">
        <x:v>275</x:v>
      </x:c>
      <x:c r="O22" s="6" t="s">
        <x:v>66</x:v>
      </x:c>
      <x:c r="P22" s="6" t="s">
        <x:v>276</x:v>
      </x:c>
      <x:c r="Q22" s="6"/>
      <x:c r="R22" s="6" t="s">
        <x:v>277</x:v>
      </x:c>
      <x:c r="S22" s="6" t="s">
        <x:v>278</x:v>
      </x:c>
      <x:c r="T22" s="91" t="s">
        <x:v>279</x:v>
      </x:c>
      <x:c r="U22" s="6" t="s">
        <x:v>280</x:v>
      </x:c>
      <x:c r="V22" s="6" t="s">
        <x:v>281</x:v>
      </x:c>
      <x:c r="W22" s="6"/>
      <x:c r="X22" s="6"/>
      <x:c r="Y22" s="6" t="s">
        <x:v>60</x:v>
      </x:c>
      <x:c r="Z22" s="6"/>
      <x:c r="AA22" s="6"/>
      <x:c r="AB22" s="6"/>
      <x:c r="AC22" s="6"/>
      <x:c r="AD22" s="6"/>
      <x:c r="AE22" s="6"/>
      <x:c r="AF22" s="6"/>
      <x:c r="AG22" s="6"/>
      <x:c r="AH22" s="65" t="s">
        <x:v>24</x:v>
      </x:c>
      <x:c r="AI22" s="35">
        <x:v>75</x:v>
      </x:c>
      <x:c r="AJ22" s="36">
        <x:v>62.5</x:v>
      </x:c>
      <x:c r="AK22" s="35">
        <x:v>87.5</x:v>
      </x:c>
      <x:c r="AL22" s="32">
        <x:f t="shared" si="0"/>
        <x:v>75</x:v>
      </x:c>
      <x:c r="AM22" s="6"/>
      <x:c r="AN22" s="87"/>
      <x:c r="AO22" s="87"/>
      <x:c r="AP22" s="87"/>
      <x:c r="AQ22" s="87"/>
      <x:c r="AR22" s="87"/>
      <x:c r="AS22" s="87"/>
      <x:c r="AT22" s="87">
        <x:f t="shared" si="2"/>
        <x:v>0</x:v>
      </x:c>
      <x:c r="AU22" s="120"/>
    </x:row>
    <x:row r="23" ht="223.9499969482422" hidden="1" customHeight="1">
      <x:c r="A23" s="110">
        <x:v>18.399999999999999</x:v>
      </x:c>
      <x:c r="B23" s="6" t="s">
        <x:v>282</x:v>
      </x:c>
      <x:c r="C23" s="6" t="s">
        <x:v>48</x:v>
      </x:c>
      <x:c r="D23" s="6">
        <x:v>2021</x:v>
      </x:c>
      <x:c r="E23" s="6">
        <x:v>2022</x:v>
      </x:c>
      <x:c r="F23" s="6" t="s">
        <x:v>283</x:v>
      </x:c>
      <x:c r="G23" s="6" t="s">
        <x:v>238</x:v>
      </x:c>
      <x:c r="H23" s="6" t="s">
        <x:v>239</x:v>
      </x:c>
      <x:c r="I23" s="6" t="s">
        <x:v>257</x:v>
      </x:c>
      <x:c r="J23" s="6"/>
      <x:c r="K23" s="6"/>
      <x:c r="L23" s="6"/>
      <x:c r="M23" s="6"/>
      <x:c r="N23" s="6" t="s">
        <x:v>275</x:v>
      </x:c>
      <x:c r="O23" s="6" t="s">
        <x:v>66</x:v>
      </x:c>
      <x:c r="P23" s="6" t="s">
        <x:v>284</x:v>
      </x:c>
      <x:c r="Q23" s="6"/>
      <x:c r="R23" s="6" t="s">
        <x:v>285</x:v>
      </x:c>
      <x:c r="S23" s="6" t="s">
        <x:v>286</x:v>
      </x:c>
      <x:c r="T23" s="91" t="s">
        <x:v>287</x:v>
      </x:c>
      <x:c r="U23" s="6" t="s">
        <x:v>288</x:v>
      </x:c>
      <x:c r="V23" s="6" t="s">
        <x:v>289</x:v>
      </x:c>
      <x:c r="W23" s="6"/>
      <x:c r="X23" s="6"/>
      <x:c r="Y23" s="6"/>
      <x:c r="Z23" s="6"/>
      <x:c r="AA23" s="6"/>
      <x:c r="AB23" s="6"/>
      <x:c r="AC23" s="6" t="s">
        <x:v>60</x:v>
      </x:c>
      <x:c r="AD23" s="6"/>
      <x:c r="AE23" s="6"/>
      <x:c r="AF23" s="6"/>
      <x:c r="AG23" s="6"/>
      <x:c r="AH23" s="63" t="s">
        <x:v>28</x:v>
      </x:c>
      <x:c r="AI23" s="35">
        <x:v>75</x:v>
      </x:c>
      <x:c r="AJ23" s="36">
        <x:v>62.5</x:v>
      </x:c>
      <x:c r="AK23" s="35">
        <x:v>75</x:v>
      </x:c>
      <x:c r="AL23" s="33">
        <x:f t="shared" si="0"/>
        <x:v>70.833333333333329</x:v>
      </x:c>
      <x:c r="AM23" s="6"/>
      <x:c r="AN23" s="88"/>
      <x:c r="AO23" s="88"/>
      <x:c r="AP23" s="88"/>
      <x:c r="AQ23" s="88"/>
      <x:c r="AR23" s="88"/>
      <x:c r="AS23" s="88"/>
      <x:c r="AT23" s="88">
        <x:f t="shared" si="2"/>
        <x:v>0</x:v>
      </x:c>
      <x:c r="AU23" s="119"/>
    </x:row>
    <x:row r="24" ht="124.19999694824219" hidden="1" customHeight="1">
      <x:c r="A24" s="110">
        <x:v>19</x:v>
      </x:c>
      <x:c r="B24" s="6" t="s">
        <x:v>290</x:v>
      </x:c>
      <x:c r="C24" s="6" t="s">
        <x:v>48</x:v>
      </x:c>
      <x:c r="D24" s="6">
        <x:v>2021</x:v>
      </x:c>
      <x:c r="E24" s="6">
        <x:v>2021</x:v>
      </x:c>
      <x:c r="F24" s="6" t="s">
        <x:v>291</x:v>
      </x:c>
      <x:c r="G24" s="6" t="s">
        <x:v>292</x:v>
      </x:c>
      <x:c r="H24" s="6"/>
      <x:c r="I24" s="6"/>
      <x:c r="J24" s="6"/>
      <x:c r="K24" s="6"/>
      <x:c r="L24" s="6"/>
      <x:c r="M24" s="6"/>
      <x:c r="N24" s="6" t="s">
        <x:v>100</x:v>
      </x:c>
      <x:c r="O24" s="6" t="s">
        <x:v>293</x:v>
      </x:c>
      <x:c r="P24" s="6" t="s">
        <x:v>294</x:v>
      </x:c>
      <x:c r="Q24" s="6"/>
      <x:c r="R24" s="6" t="s">
        <x:v>295</x:v>
      </x:c>
      <x:c r="S24" s="6" t="s">
        <x:v>296</x:v>
      </x:c>
      <x:c r="T24" s="91" t="s">
        <x:v>297</x:v>
      </x:c>
      <x:c r="U24" s="6" t="s">
        <x:v>298</x:v>
      </x:c>
      <x:c r="V24" s="6" t="s">
        <x:v>299</x:v>
      </x:c>
      <x:c r="W24" s="6"/>
      <x:c r="X24" s="6"/>
      <x:c r="Y24" s="6"/>
      <x:c r="Z24" s="6"/>
      <x:c r="AA24" s="6"/>
      <x:c r="AB24" s="6"/>
      <x:c r="AC24" s="6" t="s">
        <x:v>60</x:v>
      </x:c>
      <x:c r="AD24" s="6"/>
      <x:c r="AE24" s="6"/>
      <x:c r="AF24" s="6"/>
      <x:c r="AG24" s="6"/>
      <x:c r="AH24" s="63" t="s">
        <x:v>28</x:v>
      </x:c>
      <x:c r="AI24" s="36">
        <x:v>50</x:v>
      </x:c>
      <x:c r="AJ24" s="37">
        <x:v>25</x:v>
      </x:c>
      <x:c r="AK24" s="36">
        <x:v>50</x:v>
      </x:c>
      <x:c r="AL24" s="34">
        <x:f t="shared" si="0"/>
        <x:v>41.666666666666664</x:v>
      </x:c>
      <x:c r="AM24" s="6"/>
      <x:c r="AN24" s="6"/>
      <x:c r="AO24" s="6">
        <x:v>4000</x:v>
      </x:c>
      <x:c r="AP24" s="6"/>
      <x:c r="AQ24" s="6"/>
      <x:c r="AR24" s="6"/>
      <x:c r="AS24" s="6"/>
      <x:c r="AT24" s="6">
        <x:f t="shared" si="2"/>
        <x:v>4000</x:v>
      </x:c>
      <x:c r="AU24" s="105" t="s">
        <x:v>300</x:v>
      </x:c>
    </x:row>
    <x:row r="25" ht="189" hidden="1" customHeight="1">
      <x:c r="A25" s="114">
        <x:v>20</x:v>
      </x:c>
      <x:c r="B25" s="6" t="s">
        <x:v>301</x:v>
      </x:c>
      <x:c r="C25" s="6" t="s">
        <x:v>48</x:v>
      </x:c>
      <x:c r="D25" s="6"/>
      <x:c r="E25" s="6">
        <x:v>2022</x:v>
      </x:c>
      <x:c r="F25" s="109" t="s">
        <x:v>302</x:v>
      </x:c>
      <x:c r="G25" s="6" t="s">
        <x:v>303</x:v>
      </x:c>
      <x:c r="H25" s="6" t="s">
        <x:v>51</x:v>
      </x:c>
      <x:c r="I25" s="6" t="s">
        <x:v>304</x:v>
      </x:c>
      <x:c r="J25" s="6"/>
      <x:c r="K25" s="6"/>
      <x:c r="L25" s="6"/>
      <x:c r="M25" s="6"/>
      <x:c r="N25" s="6" t="s">
        <x:v>65</x:v>
      </x:c>
      <x:c r="O25" s="6" t="s">
        <x:v>66</x:v>
      </x:c>
      <x:c r="P25" s="6" t="s">
        <x:v>305</x:v>
      </x:c>
      <x:c r="Q25" s="6"/>
      <x:c r="R25" s="6" t="s">
        <x:v>306</x:v>
      </x:c>
      <x:c r="S25" s="6" t="s">
        <x:v>307</x:v>
      </x:c>
      <x:c r="T25" s="91" t="s">
        <x:v>308</x:v>
      </x:c>
      <x:c r="U25" s="6" t="s">
        <x:v>309</x:v>
      </x:c>
      <x:c r="V25" s="6" t="s">
        <x:v>225</x:v>
      </x:c>
      <x:c r="W25" s="6"/>
      <x:c r="X25" s="6"/>
      <x:c r="Y25" s="6" t="s">
        <x:v>60</x:v>
      </x:c>
      <x:c r="Z25" s="6"/>
      <x:c r="AA25" s="6"/>
      <x:c r="AB25" s="6"/>
      <x:c r="AC25" s="6"/>
      <x:c r="AD25" s="6"/>
      <x:c r="AE25" s="6"/>
      <x:c r="AF25" s="6"/>
      <x:c r="AG25" s="6"/>
      <x:c r="AH25" s="65" t="s">
        <x:v>24</x:v>
      </x:c>
      <x:c r="AI25" s="35">
        <x:v>87.5</x:v>
      </x:c>
      <x:c r="AJ25" s="36">
        <x:v>66.7</x:v>
      </x:c>
      <x:c r="AK25" s="36">
        <x:v>62.5</x:v>
      </x:c>
      <x:c r="AL25" s="33">
        <x:f t="shared" si="0"/>
        <x:v>72.233333333333334</x:v>
      </x:c>
      <x:c r="AM25" s="6" t="s">
        <x:v>303</x:v>
      </x:c>
      <x:c r="AN25" s="86"/>
      <x:c r="AO25" s="86"/>
      <x:c r="AP25" s="86">
        <x:v>600</x:v>
      </x:c>
      <x:c r="AQ25" s="86">
        <x:v>2097</x:v>
      </x:c>
      <x:c r="AR25" s="86"/>
      <x:c r="AS25" s="86"/>
      <x:c r="AT25" s="6">
        <x:f t="shared" si="2"/>
        <x:v>2697</x:v>
      </x:c>
      <x:c r="AU25" s="105" t="s">
        <x:v>310</x:v>
      </x:c>
    </x:row>
    <x:row r="26" ht="154.9499969482422" hidden="1" customHeight="1">
      <x:c r="A26" s="116">
        <x:v>21</x:v>
      </x:c>
      <x:c r="B26" s="86" t="s">
        <x:v>311</x:v>
      </x:c>
      <x:c r="C26" s="6" t="s">
        <x:v>48</x:v>
      </x:c>
      <x:c r="D26" s="86"/>
      <x:c r="E26" s="86">
        <x:v>2022</x:v>
      </x:c>
      <x:c r="F26" s="118" t="s">
        <x:v>312</x:v>
      </x:c>
      <x:c r="G26" s="86" t="s">
        <x:v>303</x:v>
      </x:c>
      <x:c r="H26" s="86" t="s">
        <x:v>51</x:v>
      </x:c>
      <x:c r="I26" s="6" t="s">
        <x:v>304</x:v>
      </x:c>
      <x:c r="J26" s="86"/>
      <x:c r="K26" s="86"/>
      <x:c r="L26" s="6"/>
      <x:c r="M26" s="6"/>
      <x:c r="N26" s="86" t="s">
        <x:v>241</x:v>
      </x:c>
      <x:c r="O26" s="86" t="s">
        <x:v>242</x:v>
      </x:c>
      <x:c r="P26" s="86" t="s">
        <x:v>313</x:v>
      </x:c>
      <x:c r="Q26" s="86"/>
      <x:c r="R26" s="86" t="s">
        <x:v>314</x:v>
      </x:c>
      <x:c r="S26" s="86" t="s">
        <x:v>315</x:v>
      </x:c>
      <x:c r="T26" s="92" t="s">
        <x:v>316</x:v>
      </x:c>
      <x:c r="U26" s="86" t="s">
        <x:v>317</x:v>
      </x:c>
      <x:c r="V26" s="86" t="s">
        <x:v>318</x:v>
      </x:c>
      <x:c r="W26" s="86" t="s">
        <x:v>319</x:v>
      </x:c>
      <x:c r="X26" s="86"/>
      <x:c r="Y26" s="86" t="s">
        <x:v>60</x:v>
      </x:c>
      <x:c r="Z26" s="86"/>
      <x:c r="AA26" s="86"/>
      <x:c r="AB26" s="86"/>
      <x:c r="AC26" s="86"/>
      <x:c r="AD26" s="86"/>
      <x:c r="AE26" s="86"/>
      <x:c r="AF26" s="86"/>
      <x:c r="AG26" s="86"/>
      <x:c r="AH26" s="97" t="s">
        <x:v>24</x:v>
      </x:c>
      <x:c r="AI26" s="98">
        <x:v>75</x:v>
      </x:c>
      <x:c r="AJ26" s="98">
        <x:v>75</x:v>
      </x:c>
      <x:c r="AK26" s="98">
        <x:v>75</x:v>
      </x:c>
      <x:c r="AL26" s="99">
        <x:f t="shared" si="0"/>
        <x:v>75</x:v>
      </x:c>
      <x:c r="AM26" s="86" t="s">
        <x:v>303</x:v>
      </x:c>
      <x:c r="AN26" s="87"/>
      <x:c r="AO26" s="87"/>
      <x:c r="AP26" s="87"/>
      <x:c r="AQ26" s="87"/>
      <x:c r="AR26" s="87"/>
      <x:c r="AS26" s="87"/>
      <x:c r="AT26" s="6">
        <x:f t="shared" si="2"/>
        <x:v>0</x:v>
      </x:c>
      <x:c r="AU26" s="107" t="s">
        <x:v>320</x:v>
      </x:c>
    </x:row>
    <x:row r="27" ht="154.9499969482422" customHeight="1">
      <x:c r="A27" s="111">
        <x:v>22</x:v>
      </x:c>
      <x:c r="B27" s="86" t="s">
        <x:v>321</x:v>
      </x:c>
      <x:c r="C27" s="86" t="s">
        <x:v>48</x:v>
      </x:c>
      <x:c r="D27" s="86"/>
      <x:c r="E27" s="86"/>
      <x:c r="F27" s="58" t="s">
        <x:v>322</x:v>
      </x:c>
      <x:c r="G27" s="86" t="s">
        <x:v>89</x:v>
      </x:c>
      <x:c r="H27" s="86"/>
      <x:c r="I27" s="86"/>
      <x:c r="J27" s="86"/>
      <x:c r="K27" s="86"/>
      <x:c r="L27" s="86"/>
      <x:c r="M27" s="86"/>
      <x:c r="N27" s="86"/>
      <x:c r="O27" s="86"/>
      <x:c r="P27" s="86"/>
      <x:c r="Q27" s="86"/>
      <x:c r="R27" s="86"/>
      <x:c r="S27" s="86"/>
      <x:c r="T27" s="92"/>
      <x:c r="U27" s="86"/>
      <x:c r="V27" s="86"/>
      <x:c r="W27" s="86"/>
      <x:c r="X27" s="86"/>
      <x:c r="Y27" s="86"/>
      <x:c r="Z27" s="86"/>
      <x:c r="AA27" s="86"/>
      <x:c r="AB27" s="86"/>
      <x:c r="AC27" s="86"/>
      <x:c r="AD27" s="86"/>
      <x:c r="AE27" s="86"/>
      <x:c r="AF27" s="86"/>
      <x:c r="AG27" s="86"/>
      <x:c r="AH27" s="97"/>
      <x:c r="AI27" s="98"/>
      <x:c r="AJ27" s="98"/>
      <x:c r="AK27" s="98"/>
      <x:c r="AL27" s="101"/>
      <x:c r="AM27" s="86"/>
      <x:c r="AN27" s="87"/>
      <x:c r="AO27" s="87"/>
      <x:c r="AP27" s="87"/>
      <x:c r="AQ27" s="87"/>
      <x:c r="AR27" s="87"/>
      <x:c r="AS27" s="87"/>
      <x:c r="AT27" s="6">
        <x:f t="shared" si="2"/>
        <x:v>0</x:v>
      </x:c>
      <x:c r="AU27" s="107"/>
    </x:row>
    <x:row r="28" ht="154.9499969482422" hidden="1" customHeight="1">
      <x:c r="A28" s="170">
        <x:v>23</x:v>
      </x:c>
      <x:c r="B28" s="117" t="s">
        <x:v>323</x:v>
      </x:c>
      <x:c r="C28" s="86" t="s">
        <x:v>48</x:v>
      </x:c>
      <x:c r="D28" s="86">
        <x:v>2024</x:v>
      </x:c>
      <x:c r="E28" s="86">
        <x:v>2025</x:v>
      </x:c>
      <x:c r="F28" s="58" t="s">
        <x:v>324</x:v>
      </x:c>
      <x:c r="G28" s="86" t="s">
        <x:v>50</x:v>
      </x:c>
      <x:c r="H28" s="86" t="s">
        <x:v>325</x:v>
      </x:c>
      <x:c r="I28" s="86" t="s">
        <x:v>217</x:v>
      </x:c>
      <x:c r="J28" s="86"/>
      <x:c r="K28" s="86"/>
      <x:c r="L28" s="86"/>
      <x:c r="M28" s="86"/>
      <x:c r="N28" s="86"/>
      <x:c r="O28" s="86" t="s">
        <x:v>66</x:v>
      </x:c>
      <x:c r="P28" s="86" t="s">
        <x:v>326</x:v>
      </x:c>
      <x:c r="Q28" s="86"/>
      <x:c r="R28" s="86"/>
      <x:c r="S28" s="86"/>
      <x:c r="T28" s="92"/>
      <x:c r="U28" s="86"/>
      <x:c r="V28" s="86"/>
      <x:c r="W28" s="86"/>
      <x:c r="X28" s="86"/>
      <x:c r="Y28" s="86"/>
      <x:c r="Z28" s="86"/>
      <x:c r="AA28" s="86"/>
      <x:c r="AB28" s="86"/>
      <x:c r="AC28" s="86"/>
      <x:c r="AD28" s="86"/>
      <x:c r="AE28" s="86"/>
      <x:c r="AF28" s="86"/>
      <x:c r="AG28" s="86"/>
      <x:c r="AH28" s="97"/>
      <x:c r="AI28" s="98"/>
      <x:c r="AJ28" s="98"/>
      <x:c r="AK28" s="98"/>
      <x:c r="AL28" s="101"/>
      <x:c r="AM28" s="86"/>
      <x:c r="AN28" s="87"/>
      <x:c r="AO28" s="87"/>
      <x:c r="AP28" s="87"/>
      <x:c r="AQ28" s="87"/>
      <x:c r="AR28" s="87"/>
      <x:c r="AS28" s="87"/>
      <x:c r="AT28" s="6">
        <x:f t="shared" si="2"/>
        <x:v>0</x:v>
      </x:c>
      <x:c r="AU28" s="107"/>
    </x:row>
    <x:row r="29" ht="154.9499969482422" customHeight="1">
      <x:c r="A29" s="112">
        <x:v>24</x:v>
      </x:c>
      <x:c r="B29" s="86" t="s">
        <x:v>327</x:v>
      </x:c>
      <x:c r="C29" s="86" t="s">
        <x:v>328</x:v>
      </x:c>
      <x:c r="D29" s="86">
        <x:v>2024</x:v>
      </x:c>
      <x:c r="E29" s="86"/>
      <x:c r="F29" s="58" t="s">
        <x:v>329</x:v>
      </x:c>
      <x:c r="G29" s="86" t="s">
        <x:v>330</x:v>
      </x:c>
      <x:c r="H29" s="86" t="s">
        <x:v>331</x:v>
      </x:c>
      <x:c r="I29" s="86"/>
      <x:c r="J29" s="86"/>
      <x:c r="K29" s="86" t="s">
        <x:v>332</x:v>
      </x:c>
      <x:c r="L29" s="86" t="s">
        <x:v>333</x:v>
      </x:c>
      <x:c r="M29" s="86" t="s">
        <x:v>334</x:v>
      </x:c>
      <x:c r="N29" s="86" t="s">
        <x:v>335</x:v>
      </x:c>
      <x:c r="O29" s="86" t="s">
        <x:v>114</x:v>
      </x:c>
      <x:c r="P29" s="86" t="s">
        <x:v>336</x:v>
      </x:c>
      <x:c r="Q29" s="86" t="s">
        <x:v>337</x:v>
      </x:c>
      <x:c r="R29" s="86" t="s">
        <x:v>114</x:v>
      </x:c>
      <x:c r="S29" s="86"/>
      <x:c r="T29" s="92"/>
      <x:c r="U29" s="86"/>
      <x:c r="V29" s="86"/>
      <x:c r="W29" s="86"/>
      <x:c r="X29" s="86"/>
      <x:c r="Y29" s="86"/>
      <x:c r="Z29" s="86"/>
      <x:c r="AA29" s="86"/>
      <x:c r="AB29" s="86"/>
      <x:c r="AC29" s="86"/>
      <x:c r="AD29" s="86"/>
      <x:c r="AE29" s="86"/>
      <x:c r="AF29" s="86"/>
      <x:c r="AG29" s="86"/>
      <x:c r="AH29" s="97"/>
      <x:c r="AI29" s="98"/>
      <x:c r="AJ29" s="98"/>
      <x:c r="AK29" s="98"/>
      <x:c r="AL29" s="101"/>
      <x:c r="AM29" s="86"/>
      <x:c r="AN29" s="87"/>
      <x:c r="AO29" s="87"/>
      <x:c r="AP29" s="87"/>
      <x:c r="AQ29" s="87"/>
      <x:c r="AR29" s="87"/>
      <x:c r="AS29" s="87"/>
      <x:c r="AT29" s="6">
        <x:f t="shared" si="2"/>
        <x:v>0</x:v>
      </x:c>
      <x:c r="AU29" s="107"/>
    </x:row>
    <x:row r="30" ht="154.9499969482422" customHeight="1">
      <x:c r="A30" s="116">
        <x:v>25</x:v>
      </x:c>
      <x:c r="B30" s="86" t="s">
        <x:v>338</x:v>
      </x:c>
      <x:c r="C30" s="86" t="s">
        <x:v>48</x:v>
      </x:c>
      <x:c r="D30" s="86"/>
      <x:c r="E30" s="86"/>
      <x:c r="F30" s="58" t="s">
        <x:v>339</x:v>
      </x:c>
      <x:c r="G30" s="86" t="s">
        <x:v>177</x:v>
      </x:c>
      <x:c r="H30" s="86"/>
      <x:c r="I30" s="86"/>
      <x:c r="J30" s="86"/>
      <x:c r="K30" s="86"/>
      <x:c r="L30" s="86"/>
      <x:c r="M30" s="86"/>
      <x:c r="N30" s="86"/>
      <x:c r="O30" s="86"/>
      <x:c r="P30" s="86"/>
      <x:c r="Q30" s="86"/>
      <x:c r="R30" s="86"/>
      <x:c r="S30" s="86"/>
      <x:c r="T30" s="92"/>
      <x:c r="U30" s="86"/>
      <x:c r="V30" s="86"/>
      <x:c r="W30" s="86"/>
      <x:c r="X30" s="86"/>
      <x:c r="Y30" s="86"/>
      <x:c r="Z30" s="86"/>
      <x:c r="AA30" s="86"/>
      <x:c r="AB30" s="86"/>
      <x:c r="AC30" s="86"/>
      <x:c r="AD30" s="86"/>
      <x:c r="AE30" s="86"/>
      <x:c r="AF30" s="86"/>
      <x:c r="AG30" s="86"/>
      <x:c r="AH30" s="97"/>
      <x:c r="AI30" s="98"/>
      <x:c r="AJ30" s="100"/>
      <x:c r="AK30" s="98"/>
      <x:c r="AL30" s="101"/>
      <x:c r="AM30" s="86"/>
      <x:c r="AN30" s="87"/>
      <x:c r="AO30" s="87"/>
      <x:c r="AP30" s="87"/>
      <x:c r="AQ30" s="87"/>
      <x:c r="AR30" s="87"/>
      <x:c r="AS30" s="87"/>
      <x:c r="AT30" s="6">
        <x:f t="shared" si="2"/>
        <x:v>0</x:v>
      </x:c>
      <x:c r="AU30" s="107"/>
    </x:row>
    <x:row r="31" ht="154.9499969482422" customHeight="1">
      <x:c r="A31" s="116">
        <x:v>26</x:v>
      </x:c>
      <x:c r="B31" s="86"/>
      <x:c r="C31" s="86"/>
      <x:c r="D31" s="86"/>
      <x:c r="E31" s="86"/>
      <x:c r="F31" s="58" t="s">
        <x:v>340</x:v>
      </x:c>
      <x:c r="G31" s="86" t="s">
        <x:v>341</x:v>
      </x:c>
      <x:c r="H31" s="86"/>
      <x:c r="I31" s="86"/>
      <x:c r="J31" s="86"/>
      <x:c r="K31" s="86"/>
      <x:c r="L31" s="86"/>
      <x:c r="M31" s="86"/>
      <x:c r="N31" s="86"/>
      <x:c r="O31" s="86"/>
      <x:c r="P31" s="86"/>
      <x:c r="Q31" s="86"/>
      <x:c r="R31" s="86"/>
      <x:c r="S31" s="86"/>
      <x:c r="T31" s="92"/>
      <x:c r="U31" s="86"/>
      <x:c r="V31" s="86"/>
      <x:c r="W31" s="86"/>
      <x:c r="X31" s="86"/>
      <x:c r="Y31" s="86"/>
      <x:c r="Z31" s="86"/>
      <x:c r="AA31" s="86"/>
      <x:c r="AB31" s="86"/>
      <x:c r="AC31" s="86"/>
      <x:c r="AD31" s="86"/>
      <x:c r="AE31" s="86"/>
      <x:c r="AF31" s="86"/>
      <x:c r="AG31" s="86"/>
      <x:c r="AH31" s="97"/>
      <x:c r="AI31" s="98"/>
      <x:c r="AJ31" s="100"/>
      <x:c r="AK31" s="98"/>
      <x:c r="AL31" s="101"/>
      <x:c r="AM31" s="86"/>
      <x:c r="AN31" s="87"/>
      <x:c r="AO31" s="87"/>
      <x:c r="AP31" s="87"/>
      <x:c r="AQ31" s="87"/>
      <x:c r="AR31" s="87"/>
      <x:c r="AS31" s="87"/>
      <x:c r="AT31" s="6">
        <x:f t="shared" si="2"/>
        <x:v>0</x:v>
      </x:c>
      <x:c r="AU31" s="107"/>
    </x:row>
    <x:row r="32" ht="154.9499969482422" hidden="1" customHeight="1">
      <x:c r="A32" s="116">
        <x:v>27</x:v>
      </x:c>
      <x:c r="B32" s="117" t="s">
        <x:v>342</x:v>
      </x:c>
      <x:c r="C32" s="86" t="s">
        <x:v>328</x:v>
      </x:c>
      <x:c r="D32" s="86">
        <x:v>2024</x:v>
      </x:c>
      <x:c r="E32" s="86">
        <x:v>2025</x:v>
      </x:c>
      <x:c r="F32" s="58" t="s">
        <x:v>343</x:v>
      </x:c>
      <x:c r="G32" s="86" t="s">
        <x:v>177</x:v>
      </x:c>
      <x:c r="H32" s="86" t="s">
        <x:v>178</x:v>
      </x:c>
      <x:c r="I32" s="86" t="s">
        <x:v>344</x:v>
      </x:c>
      <x:c r="J32" s="86"/>
      <x:c r="K32" s="86" t="s">
        <x:v>345</x:v>
      </x:c>
      <x:c r="L32" s="86" t="s">
        <x:v>346</x:v>
      </x:c>
      <x:c r="M32" s="86" t="s">
        <x:v>347</x:v>
      </x:c>
      <x:c r="N32" s="6" t="s">
        <x:v>65</x:v>
      </x:c>
      <x:c r="O32" s="86" t="s">
        <x:v>66</x:v>
      </x:c>
      <x:c r="P32" s="86" t="s">
        <x:v>348</x:v>
      </x:c>
      <x:c r="Q32" s="86" t="s">
        <x:v>349</x:v>
      </x:c>
      <x:c r="R32" s="86" t="s">
        <x:v>350</x:v>
      </x:c>
      <x:c r="S32" s="86"/>
      <x:c r="T32" s="92"/>
      <x:c r="U32" s="86"/>
      <x:c r="V32" s="86"/>
      <x:c r="W32" s="86"/>
      <x:c r="X32" s="86"/>
      <x:c r="Y32" s="86"/>
      <x:c r="Z32" s="86"/>
      <x:c r="AA32" s="86"/>
      <x:c r="AB32" s="86"/>
      <x:c r="AC32" s="86"/>
      <x:c r="AD32" s="86"/>
      <x:c r="AE32" s="86"/>
      <x:c r="AF32" s="86"/>
      <x:c r="AG32" s="86"/>
      <x:c r="AH32" s="97"/>
      <x:c r="AI32" s="98"/>
      <x:c r="AJ32" s="100"/>
      <x:c r="AK32" s="98"/>
      <x:c r="AL32" s="101"/>
      <x:c r="AM32" s="86"/>
      <x:c r="AN32" s="87"/>
      <x:c r="AO32" s="87"/>
      <x:c r="AP32" s="87"/>
      <x:c r="AQ32" s="87"/>
      <x:c r="AR32" s="87"/>
      <x:c r="AS32" s="87"/>
      <x:c r="AT32" s="6">
        <x:v>2107.48</x:v>
      </x:c>
      <x:c r="AU32" s="107" t="s">
        <x:v>351</x:v>
      </x:c>
    </x:row>
    <x:row r="33" ht="154.9499969482422" hidden="1" customHeight="1">
      <x:c r="A33" s="171">
        <x:v>28</x:v>
      </x:c>
      <x:c r="B33" s="117" t="s">
        <x:v>352</x:v>
      </x:c>
      <x:c r="C33" s="86" t="s">
        <x:v>328</x:v>
      </x:c>
      <x:c r="D33" s="86">
        <x:v>2025</x:v>
      </x:c>
      <x:c r="E33" s="86">
        <x:v>2025</x:v>
      </x:c>
      <x:c r="F33" s="58" t="s">
        <x:v>353</x:v>
      </x:c>
      <x:c r="G33" s="86" t="s">
        <x:v>354</x:v>
      </x:c>
      <x:c r="H33" s="86" t="s">
        <x:v>355</x:v>
      </x:c>
      <x:c r="I33" s="86" t="s">
        <x:v>356</x:v>
      </x:c>
      <x:c r="J33" s="86"/>
      <x:c r="K33" s="86"/>
      <x:c r="L33" s="86" t="s">
        <x:v>357</x:v>
      </x:c>
      <x:c r="M33" s="86" t="s">
        <x:v>358</x:v>
      </x:c>
      <x:c r="N33" s="86" t="s">
        <x:v>359</x:v>
      </x:c>
      <x:c r="O33" s="86" t="s">
        <x:v>66</x:v>
      </x:c>
      <x:c r="P33" s="86" t="s">
        <x:v>360</x:v>
      </x:c>
      <x:c r="Q33" s="86" t="s">
        <x:v>361</x:v>
      </x:c>
      <x:c r="R33" s="86"/>
      <x:c r="S33" s="86"/>
      <x:c r="T33" s="92"/>
      <x:c r="U33" s="86"/>
      <x:c r="V33" s="86"/>
      <x:c r="W33" s="86"/>
      <x:c r="X33" s="86"/>
      <x:c r="Y33" s="86"/>
      <x:c r="Z33" s="86"/>
      <x:c r="AA33" s="86"/>
      <x:c r="AB33" s="86"/>
      <x:c r="AC33" s="86"/>
      <x:c r="AD33" s="86"/>
      <x:c r="AE33" s="86"/>
      <x:c r="AF33" s="86"/>
      <x:c r="AG33" s="86"/>
      <x:c r="AH33" s="97"/>
      <x:c r="AI33" s="98"/>
      <x:c r="AJ33" s="100"/>
      <x:c r="AK33" s="98"/>
      <x:c r="AL33" s="101"/>
      <x:c r="AM33" s="86"/>
      <x:c r="AN33" s="87"/>
      <x:c r="AO33" s="87"/>
      <x:c r="AP33" s="87"/>
      <x:c r="AQ33" s="87"/>
      <x:c r="AR33" s="87"/>
      <x:c r="AS33" s="87"/>
      <x:c r="AT33" s="6">
        <x:v>2000</x:v>
      </x:c>
      <x:c r="AU33" s="107"/>
    </x:row>
    <x:row r="34" ht="154.9499969482422" hidden="1" customHeight="1">
      <x:c r="A34" s="170">
        <x:v>29</x:v>
      </x:c>
      <x:c r="B34" s="117" t="s">
        <x:v>362</x:v>
      </x:c>
      <x:c r="C34" s="86" t="s">
        <x:v>328</x:v>
      </x:c>
      <x:c r="D34" s="86">
        <x:v>2025</x:v>
      </x:c>
      <x:c r="E34" s="86">
        <x:v>2025</x:v>
      </x:c>
      <x:c r="F34" s="58" t="s">
        <x:v>363</x:v>
      </x:c>
      <x:c r="G34" s="86" t="s">
        <x:v>50</x:v>
      </x:c>
      <x:c r="H34" s="86" t="s">
        <x:v>364</x:v>
      </x:c>
      <x:c r="I34" s="86" t="s">
        <x:v>365</x:v>
      </x:c>
      <x:c r="J34" s="86"/>
      <x:c r="K34" s="86" t="s">
        <x:v>366</x:v>
      </x:c>
      <x:c r="L34" s="86" t="s">
        <x:v>333</x:v>
      </x:c>
      <x:c r="M34" s="86" t="s">
        <x:v>367</x:v>
      </x:c>
      <x:c r="N34" s="86" t="s">
        <x:v>368</x:v>
      </x:c>
      <x:c r="O34" s="86" t="s">
        <x:v>66</x:v>
      </x:c>
      <x:c r="P34" s="86" t="s">
        <x:v>369</x:v>
      </x:c>
      <x:c r="Q34" s="86" t="s">
        <x:v>370</x:v>
      </x:c>
      <x:c r="R34" s="86"/>
      <x:c r="S34" s="86"/>
      <x:c r="T34" s="92"/>
      <x:c r="U34" s="86"/>
      <x:c r="V34" s="86"/>
      <x:c r="W34" s="86"/>
      <x:c r="X34" s="86"/>
      <x:c r="Y34" s="86"/>
      <x:c r="Z34" s="86"/>
      <x:c r="AA34" s="86"/>
      <x:c r="AB34" s="86"/>
      <x:c r="AC34" s="86"/>
      <x:c r="AD34" s="86"/>
      <x:c r="AE34" s="86"/>
      <x:c r="AF34" s="86"/>
      <x:c r="AG34" s="86"/>
      <x:c r="AH34" s="97"/>
      <x:c r="AI34" s="98"/>
      <x:c r="AJ34" s="100"/>
      <x:c r="AK34" s="98"/>
      <x:c r="AL34" s="101"/>
      <x:c r="AM34" s="86"/>
      <x:c r="AN34" s="87"/>
      <x:c r="AO34" s="87"/>
      <x:c r="AP34" s="87"/>
      <x:c r="AQ34" s="87"/>
      <x:c r="AR34" s="87"/>
      <x:c r="AS34" s="87"/>
      <x:c r="AT34" s="6">
        <x:v>3086</x:v>
      </x:c>
      <x:c r="AU34" s="107" t="s">
        <x:v>371</x:v>
      </x:c>
    </x:row>
    <x:row r="35" ht="154.9499969482422" hidden="1" customHeight="1">
      <x:c r="A35" s="172">
        <x:v>30</x:v>
      </x:c>
      <x:c r="B35" s="117" t="s">
        <x:v>372</x:v>
      </x:c>
      <x:c r="C35" s="86" t="s">
        <x:v>328</x:v>
      </x:c>
      <x:c r="D35" s="86">
        <x:v>2025</x:v>
      </x:c>
      <x:c r="E35" s="86">
        <x:v>2025</x:v>
      </x:c>
      <x:c r="F35" s="86" t="s">
        <x:v>373</x:v>
      </x:c>
      <x:c r="G35" s="86" t="s">
        <x:v>177</x:v>
      </x:c>
      <x:c r="H35" s="86" t="s">
        <x:v>364</x:v>
      </x:c>
      <x:c r="I35" s="86" t="s">
        <x:v>374</x:v>
      </x:c>
      <x:c r="J35" s="86"/>
      <x:c r="K35" s="86" t="s">
        <x:v>375</x:v>
      </x:c>
      <x:c r="L35" s="86" t="s">
        <x:v>376</x:v>
      </x:c>
      <x:c r="M35" s="86" t="s">
        <x:v>367</x:v>
      </x:c>
      <x:c r="N35" s="86" t="s">
        <x:v>368</x:v>
      </x:c>
      <x:c r="O35" s="86" t="s">
        <x:v>66</x:v>
      </x:c>
      <x:c r="P35" s="86" t="s">
        <x:v>377</x:v>
      </x:c>
      <x:c r="Q35" s="86" t="s">
        <x:v>378</x:v>
      </x:c>
      <x:c r="R35" s="86" t="s">
        <x:v>379</x:v>
      </x:c>
      <x:c r="S35" s="86"/>
      <x:c r="T35" s="92"/>
      <x:c r="U35" s="86"/>
      <x:c r="V35" s="86"/>
      <x:c r="W35" s="86"/>
      <x:c r="X35" s="86"/>
      <x:c r="Y35" s="86"/>
      <x:c r="Z35" s="86"/>
      <x:c r="AA35" s="86"/>
      <x:c r="AB35" s="86"/>
      <x:c r="AC35" s="86"/>
      <x:c r="AD35" s="86"/>
      <x:c r="AE35" s="86"/>
      <x:c r="AF35" s="86"/>
      <x:c r="AG35" s="86"/>
      <x:c r="AH35" s="97"/>
      <x:c r="AI35" s="98"/>
      <x:c r="AJ35" s="100"/>
      <x:c r="AK35" s="98"/>
      <x:c r="AL35" s="101"/>
      <x:c r="AM35" s="86"/>
      <x:c r="AN35" s="87"/>
      <x:c r="AO35" s="87"/>
      <x:c r="AP35" s="87"/>
      <x:c r="AQ35" s="87"/>
      <x:c r="AR35" s="87"/>
      <x:c r="AS35" s="87"/>
      <x:c r="AT35" s="6">
        <x:v>1805.5</x:v>
      </x:c>
      <x:c r="AU35" s="107"/>
    </x:row>
    <x:row r="36" ht="154.9499969482422" customHeight="1">
      <x:c r="A36" s="148">
        <x:v>32</x:v>
      </x:c>
      <x:c r="B36" s="121" t="s">
        <x:v>380</x:v>
      </x:c>
      <x:c r="C36" s="6" t="s">
        <x:v>48</x:v>
      </x:c>
      <x:c r="D36" s="6">
        <x:v>2025</x:v>
      </x:c>
      <x:c r="E36" s="6">
        <x:v>2025</x:v>
      </x:c>
      <x:c r="F36" s="6" t="s">
        <x:v>381</x:v>
      </x:c>
      <x:c r="G36" s="6" t="s">
        <x:v>177</x:v>
      </x:c>
      <x:c r="H36" s="86" t="s">
        <x:v>382</x:v>
      </x:c>
      <x:c r="I36" s="86" t="s">
        <x:v>383</x:v>
      </x:c>
      <x:c r="J36" s="86" t="s">
        <x:v>384</x:v>
      </x:c>
      <x:c r="K36" s="86" t="s">
        <x:v>385</x:v>
      </x:c>
      <x:c r="L36" s="86" t="s">
        <x:v>386</x:v>
      </x:c>
      <x:c r="M36" s="86" t="s">
        <x:v>387</x:v>
      </x:c>
      <x:c r="N36" s="86" t="s">
        <x:v>388</x:v>
      </x:c>
      <x:c r="O36" s="86"/>
      <x:c r="P36" s="86" t="s">
        <x:v>389</x:v>
      </x:c>
      <x:c r="Q36" s="86" t="s">
        <x:v>390</x:v>
      </x:c>
      <x:c r="R36" s="86" t="s">
        <x:v>391</x:v>
      </x:c>
      <x:c r="S36" s="86"/>
      <x:c r="T36" s="92"/>
      <x:c r="U36" s="86"/>
      <x:c r="V36" s="86"/>
      <x:c r="W36" s="86"/>
      <x:c r="X36" s="86"/>
      <x:c r="Y36" s="86"/>
      <x:c r="Z36" s="86"/>
      <x:c r="AA36" s="86"/>
      <x:c r="AB36" s="86"/>
      <x:c r="AC36" s="86"/>
      <x:c r="AD36" s="86"/>
      <x:c r="AE36" s="86"/>
      <x:c r="AF36" s="86"/>
      <x:c r="AG36" s="86"/>
      <x:c r="AH36" s="97"/>
      <x:c r="AI36" s="98"/>
      <x:c r="AJ36" s="100"/>
      <x:c r="AK36" s="98"/>
      <x:c r="AL36" s="101" t="n">
        <x:f t="shared" ref="AL36:AL43" si="3">SUM(AI36:AK36)/3</x:f>
        <x:v>0</x:v>
      </x:c>
      <x:c r="AM36" s="86"/>
      <x:c r="AN36" s="87"/>
      <x:c r="AO36" s="87"/>
      <x:c r="AP36" s="87"/>
      <x:c r="AQ36" s="87"/>
      <x:c r="AR36" s="87"/>
      <x:c r="AS36" s="87"/>
      <x:c r="AT36" s="6">
        <x:v>0</x:v>
      </x:c>
      <x:c r="AU36" s="107"/>
    </x:row>
    <x:row r="37" ht="154.9499969482422" hidden="1" customHeight="1">
      <x:c r="A37" s="148">
        <x:v>33</x:v>
      </x:c>
      <x:c r="B37" s="121" t="s">
        <x:v>392</x:v>
      </x:c>
      <x:c r="C37" s="6" t="s">
        <x:v>328</x:v>
      </x:c>
      <x:c r="D37" s="6">
        <x:v>2025</x:v>
      </x:c>
      <x:c r="E37" s="6">
        <x:v>2025</x:v>
      </x:c>
      <x:c r="F37" s="6" t="s">
        <x:v>393</x:v>
      </x:c>
      <x:c r="G37" s="6" t="s">
        <x:v>177</x:v>
      </x:c>
      <x:c r="H37" s="86" t="s">
        <x:v>364</x:v>
      </x:c>
      <x:c r="I37" s="86" t="s">
        <x:v>344</x:v>
      </x:c>
      <x:c r="J37" s="86"/>
      <x:c r="K37" s="86" t="s">
        <x:v>394</x:v>
      </x:c>
      <x:c r="L37" s="86" t="s">
        <x:v>395</x:v>
      </x:c>
      <x:c r="M37" s="86"/>
      <x:c r="N37" s="86" t="s">
        <x:v>396</x:v>
      </x:c>
      <x:c r="O37" s="86" t="s">
        <x:v>397</x:v>
      </x:c>
      <x:c r="P37" s="86" t="s">
        <x:v>398</x:v>
      </x:c>
      <x:c r="Q37" s="86" t="s">
        <x:v>399</x:v>
      </x:c>
      <x:c r="R37" s="86" t="s">
        <x:v>400</x:v>
      </x:c>
      <x:c r="S37" s="86"/>
      <x:c r="T37" s="92"/>
      <x:c r="U37" s="86"/>
      <x:c r="V37" s="86"/>
      <x:c r="W37" s="86"/>
      <x:c r="X37" s="86"/>
      <x:c r="Y37" s="86"/>
      <x:c r="Z37" s="86"/>
      <x:c r="AA37" s="86"/>
      <x:c r="AB37" s="86"/>
      <x:c r="AC37" s="86"/>
      <x:c r="AD37" s="86"/>
      <x:c r="AE37" s="86"/>
      <x:c r="AF37" s="86"/>
      <x:c r="AG37" s="86"/>
      <x:c r="AH37" s="97"/>
      <x:c r="AI37" s="98"/>
      <x:c r="AJ37" s="100"/>
      <x:c r="AK37" s="98"/>
      <x:c r="AL37" s="99">
        <x:f t="shared" si="3"/>
        <x:v>0</x:v>
      </x:c>
      <x:c r="AM37" s="86"/>
      <x:c r="AN37" s="87"/>
      <x:c r="AO37" s="87"/>
      <x:c r="AP37" s="87"/>
      <x:c r="AQ37" s="87"/>
      <x:c r="AR37" s="87"/>
      <x:c r="AS37" s="87"/>
      <x:c r="AT37" s="6">
        <x:v>545</x:v>
      </x:c>
      <x:c r="AU37" s="107"/>
    </x:row>
    <x:row r="38" ht="154.9499969482422" customHeight="1">
      <x:c r="A38" s="148">
        <x:v>34</x:v>
      </x:c>
      <x:c r="B38" s="6" t="s">
        <x:v>401</x:v>
      </x:c>
      <x:c r="C38" s="6" t="s">
        <x:v>48</x:v>
      </x:c>
      <x:c r="D38" s="6">
        <x:v>2025</x:v>
      </x:c>
      <x:c r="E38" s="6">
        <x:v>2025</x:v>
      </x:c>
      <x:c r="F38" s="6" t="s">
        <x:v>402</x:v>
      </x:c>
      <x:c r="G38" s="6" t="s">
        <x:v>177</x:v>
      </x:c>
      <x:c r="H38" s="86" t="s">
        <x:v>403</x:v>
      </x:c>
      <x:c r="I38" s="86" t="s">
        <x:v>344</x:v>
      </x:c>
      <x:c r="J38" s="86" t="s">
        <x:v>404</x:v>
      </x:c>
      <x:c r="K38" s="86" t="s">
        <x:v>405</x:v>
      </x:c>
      <x:c r="L38" s="6" t="s">
        <x:v>333</x:v>
      </x:c>
      <x:c r="M38" s="6"/>
      <x:c r="N38" s="86" t="s">
        <x:v>388</x:v>
      </x:c>
      <x:c r="O38" s="86"/>
      <x:c r="P38" s="86" t="s">
        <x:v>406</x:v>
      </x:c>
      <x:c r="Q38" s="86" t="s">
        <x:v>407</x:v>
      </x:c>
      <x:c r="R38" s="86" t="s">
        <x:v>391</x:v>
      </x:c>
      <x:c r="S38" s="86"/>
      <x:c r="T38" s="92"/>
      <x:c r="U38" s="86"/>
      <x:c r="V38" s="86"/>
      <x:c r="W38" s="86"/>
      <x:c r="X38" s="86"/>
      <x:c r="Y38" s="86"/>
      <x:c r="Z38" s="86"/>
      <x:c r="AA38" s="86"/>
      <x:c r="AB38" s="86"/>
      <x:c r="AC38" s="86"/>
      <x:c r="AD38" s="86"/>
      <x:c r="AE38" s="86"/>
      <x:c r="AF38" s="86"/>
      <x:c r="AG38" s="86"/>
      <x:c r="AH38" s="97"/>
      <x:c r="AI38" s="98"/>
      <x:c r="AJ38" s="100"/>
      <x:c r="AK38" s="98"/>
      <x:c r="AL38" s="99">
        <x:f t="shared" si="3"/>
        <x:v>0</x:v>
      </x:c>
      <x:c r="AM38" s="86"/>
      <x:c r="AN38" s="87"/>
      <x:c r="AO38" s="87"/>
      <x:c r="AP38" s="87"/>
      <x:c r="AQ38" s="87"/>
      <x:c r="AR38" s="87"/>
      <x:c r="AS38" s="87"/>
      <x:c r="AT38" s="6">
        <x:v>528</x:v>
      </x:c>
      <x:c r="AU38" s="107"/>
    </x:row>
    <x:row r="39" ht="154.9499969482422" hidden="1" customHeight="1">
      <x:c r="A39" s="148">
        <x:v>35</x:v>
      </x:c>
      <x:c r="B39" s="117" t="s">
        <x:v>408</x:v>
      </x:c>
      <x:c r="C39" s="86" t="s">
        <x:v>328</x:v>
      </x:c>
      <x:c r="D39" s="86">
        <x:v>2025</x:v>
      </x:c>
      <x:c r="E39" s="86">
        <x:v>2025</x:v>
      </x:c>
      <x:c r="F39" s="58" t="s">
        <x:v>409</x:v>
      </x:c>
      <x:c r="G39" s="86" t="s">
        <x:v>177</x:v>
      </x:c>
      <x:c r="H39" s="86" t="s">
        <x:v>364</x:v>
      </x:c>
      <x:c r="I39" s="86" t="s">
        <x:v>410</x:v>
      </x:c>
      <x:c r="J39" s="86"/>
      <x:c r="K39" s="86" t="s">
        <x:v>411</x:v>
      </x:c>
      <x:c r="L39" s="6" t="s">
        <x:v>412</x:v>
      </x:c>
      <x:c r="M39" s="6" t="s">
        <x:v>387</x:v>
      </x:c>
      <x:c r="N39" s="86" t="s">
        <x:v>413</x:v>
      </x:c>
      <x:c r="O39" s="86" t="s">
        <x:v>397</x:v>
      </x:c>
      <x:c r="P39" s="86" t="s">
        <x:v>414</x:v>
      </x:c>
      <x:c r="Q39" s="173" t="s">
        <x:v>415</x:v>
      </x:c>
      <x:c r="R39" s="86"/>
      <x:c r="S39" s="86"/>
      <x:c r="T39" s="92"/>
      <x:c r="U39" s="86"/>
      <x:c r="V39" s="86"/>
      <x:c r="W39" s="86"/>
      <x:c r="X39" s="86"/>
      <x:c r="Y39" s="86"/>
      <x:c r="Z39" s="86"/>
      <x:c r="AA39" s="86"/>
      <x:c r="AB39" s="86"/>
      <x:c r="AC39" s="86"/>
      <x:c r="AD39" s="86"/>
      <x:c r="AE39" s="86"/>
      <x:c r="AF39" s="86"/>
      <x:c r="AG39" s="86"/>
      <x:c r="AH39" s="97"/>
      <x:c r="AI39" s="98"/>
      <x:c r="AJ39" s="100"/>
      <x:c r="AK39" s="98"/>
      <x:c r="AL39" s="101">
        <x:f t="shared" si="3"/>
        <x:v>0</x:v>
      </x:c>
      <x:c r="AM39" s="86"/>
      <x:c r="AN39" s="87"/>
      <x:c r="AO39" s="87"/>
      <x:c r="AP39" s="87"/>
      <x:c r="AQ39" s="87"/>
      <x:c r="AR39" s="87"/>
      <x:c r="AS39" s="87"/>
      <x:c r="AT39" s="6">
        <x:v>837.88</x:v>
      </x:c>
      <x:c r="AU39" s="107"/>
    </x:row>
    <x:row r="40" ht="154.9499969482422" hidden="1" customHeight="1">
      <x:c r="A40" s="148">
        <x:v>36</x:v>
      </x:c>
      <x:c r="B40" s="86" t="s">
        <x:v>416</x:v>
      </x:c>
      <x:c r="C40" s="86" t="s">
        <x:v>417</x:v>
      </x:c>
      <x:c r="D40" s="86">
        <x:v>2025</x:v>
      </x:c>
      <x:c r="E40" s="86"/>
      <x:c r="F40" s="86" t="s">
        <x:v>418</x:v>
      </x:c>
      <x:c r="G40" s="86" t="s">
        <x:v>177</x:v>
      </x:c>
      <x:c r="H40" s="86" t="s">
        <x:v>364</x:v>
      </x:c>
      <x:c r="I40" s="86" t="s">
        <x:v>374</x:v>
      </x:c>
      <x:c r="J40" s="86"/>
      <x:c r="K40" s="86" t="s">
        <x:v>419</x:v>
      </x:c>
      <x:c r="L40" s="86"/>
      <x:c r="M40" s="86"/>
      <x:c r="N40" s="86" t="s">
        <x:v>413</x:v>
      </x:c>
      <x:c r="O40" s="86" t="s">
        <x:v>397</x:v>
      </x:c>
      <x:c r="P40" s="86" t="s">
        <x:v>420</x:v>
      </x:c>
      <x:c r="Q40" s="86" t="s">
        <x:v>421</x:v>
      </x:c>
      <x:c r="R40" s="86" t="s">
        <x:v>422</x:v>
      </x:c>
      <x:c r="S40" s="86"/>
      <x:c r="T40" s="92"/>
      <x:c r="U40" s="86"/>
      <x:c r="V40" s="86"/>
      <x:c r="W40" s="86"/>
      <x:c r="X40" s="86"/>
      <x:c r="Y40" s="86"/>
      <x:c r="Z40" s="86"/>
      <x:c r="AA40" s="86"/>
      <x:c r="AB40" s="86"/>
      <x:c r="AC40" s="86"/>
      <x:c r="AD40" s="86"/>
      <x:c r="AE40" s="86"/>
      <x:c r="AF40" s="86"/>
      <x:c r="AG40" s="86"/>
      <x:c r="AH40" s="97"/>
      <x:c r="AI40" s="98"/>
      <x:c r="AJ40" s="100"/>
      <x:c r="AK40" s="98"/>
      <x:c r="AL40" s="101">
        <x:f t="shared" si="3"/>
        <x:v>0</x:v>
      </x:c>
      <x:c r="AM40" s="86"/>
      <x:c r="AN40" s="87"/>
      <x:c r="AO40" s="87"/>
      <x:c r="AP40" s="87"/>
      <x:c r="AQ40" s="87"/>
      <x:c r="AR40" s="87"/>
      <x:c r="AS40" s="87"/>
      <x:c r="AT40" s="6" t="n">
        <x:f>SUM(AN40:AS40)</x:f>
        <x:v>0</x:v>
      </x:c>
      <x:c r="AU40" s="107"/>
    </x:row>
    <x:row r="41" ht="154.9499969482422" customHeight="1">
      <x:c r="A41" s="147">
        <x:v>37</x:v>
      </x:c>
      <x:c r="B41" s="86" t="s">
        <x:v>423</x:v>
      </x:c>
      <x:c r="C41" s="86" t="s">
        <x:v>328</x:v>
      </x:c>
      <x:c r="D41" s="86">
        <x:v>2025</x:v>
      </x:c>
      <x:c r="E41" s="86">
        <x:v>2025</x:v>
      </x:c>
      <x:c r="F41" s="86" t="s">
        <x:v>424</x:v>
      </x:c>
      <x:c r="G41" s="86" t="s">
        <x:v>177</x:v>
      </x:c>
      <x:c r="H41" s="86" t="s">
        <x:v>425</x:v>
      </x:c>
      <x:c r="I41" s="86" t="s">
        <x:v>426</x:v>
      </x:c>
      <x:c r="J41" s="86"/>
      <x:c r="K41" s="86" t="s">
        <x:v>427</x:v>
      </x:c>
      <x:c r="L41" s="86" t="s">
        <x:v>428</x:v>
      </x:c>
      <x:c r="M41" s="86" t="s">
        <x:v>429</x:v>
      </x:c>
      <x:c r="N41" s="86" t="s">
        <x:v>430</x:v>
      </x:c>
      <x:c r="O41" s="86" t="s">
        <x:v>114</x:v>
      </x:c>
      <x:c r="P41" s="86" t="s">
        <x:v>431</x:v>
      </x:c>
      <x:c r="Q41" s="86"/>
      <x:c r="R41" s="86"/>
      <x:c r="S41" s="86"/>
      <x:c r="T41" s="92"/>
      <x:c r="U41" s="86"/>
      <x:c r="V41" s="86"/>
      <x:c r="W41" s="86"/>
      <x:c r="X41" s="86"/>
      <x:c r="Y41" s="86"/>
      <x:c r="Z41" s="86"/>
      <x:c r="AA41" s="86"/>
      <x:c r="AB41" s="86"/>
      <x:c r="AC41" s="86"/>
      <x:c r="AD41" s="86"/>
      <x:c r="AE41" s="86"/>
      <x:c r="AF41" s="86"/>
      <x:c r="AG41" s="86"/>
      <x:c r="AH41" s="97"/>
      <x:c r="AI41" s="98"/>
      <x:c r="AJ41" s="100"/>
      <x:c r="AK41" s="98"/>
      <x:c r="AL41" s="101" t="n">
        <x:f>SUM(AI41:AK41)/3</x:f>
        <x:v>0</x:v>
      </x:c>
      <x:c r="AM41" s="86"/>
      <x:c r="AN41" s="87"/>
      <x:c r="AO41" s="87"/>
      <x:c r="AP41" s="87"/>
      <x:c r="AQ41" s="87"/>
      <x:c r="AR41" s="87"/>
      <x:c r="AS41" s="87"/>
      <x:c r="AT41" s="6">
        <x:v>1665.76</x:v>
      </x:c>
      <x:c r="AU41" s="107"/>
    </x:row>
    <x:row r="42" ht="154.9499969482422" hidden="1" customHeight="1">
      <x:c r="A42" s="147">
        <x:v>38</x:v>
      </x:c>
      <x:c r="B42" s="86" t="s">
        <x:v>432</x:v>
      </x:c>
      <x:c r="C42" s="86" t="s">
        <x:v>328</x:v>
      </x:c>
      <x:c r="D42" s="86">
        <x:v>2025</x:v>
      </x:c>
      <x:c r="E42" s="86">
        <x:v>2025</x:v>
      </x:c>
      <x:c r="F42" s="86" t="s">
        <x:v>433</x:v>
      </x:c>
      <x:c r="G42" s="86" t="s">
        <x:v>177</x:v>
      </x:c>
      <x:c r="H42" s="86" t="s">
        <x:v>425</x:v>
      </x:c>
      <x:c r="I42" s="86" t="s">
        <x:v>426</x:v>
      </x:c>
      <x:c r="J42" s="86"/>
      <x:c r="K42" s="86" t="s">
        <x:v>434</x:v>
      </x:c>
      <x:c r="L42" s="86" t="s">
        <x:v>428</x:v>
      </x:c>
      <x:c r="M42" s="86" t="s">
        <x:v>429</x:v>
      </x:c>
      <x:c r="N42" s="86" t="s">
        <x:v>435</x:v>
      </x:c>
      <x:c r="O42" s="86" t="s">
        <x:v>66</x:v>
      </x:c>
      <x:c r="P42" s="86"/>
      <x:c r="Q42" s="86"/>
      <x:c r="R42" s="86"/>
      <x:c r="S42" s="86"/>
      <x:c r="T42" s="92"/>
      <x:c r="U42" s="86"/>
      <x:c r="V42" s="86"/>
      <x:c r="W42" s="86"/>
      <x:c r="X42" s="86"/>
      <x:c r="Y42" s="86"/>
      <x:c r="Z42" s="86"/>
      <x:c r="AA42" s="86"/>
      <x:c r="AB42" s="86"/>
      <x:c r="AC42" s="86"/>
      <x:c r="AD42" s="86"/>
      <x:c r="AE42" s="86"/>
      <x:c r="AF42" s="86"/>
      <x:c r="AG42" s="86"/>
      <x:c r="AH42" s="97"/>
      <x:c r="AI42" s="98"/>
      <x:c r="AJ42" s="100"/>
      <x:c r="AK42" s="98"/>
      <x:c r="AL42" s="101" t="n">
        <x:f>SUM(AI42:AK42)/3</x:f>
        <x:v>0</x:v>
      </x:c>
      <x:c r="AM42" s="86"/>
      <x:c r="AN42" s="87"/>
      <x:c r="AO42" s="87"/>
      <x:c r="AP42" s="87"/>
      <x:c r="AQ42" s="87"/>
      <x:c r="AR42" s="87"/>
      <x:c r="AS42" s="87"/>
      <x:c r="AT42" s="6">
        <x:v>1650.6</x:v>
      </x:c>
      <x:c r="AU42" s="107"/>
    </x:row>
    <x:row r="43" ht="72">
      <x:c r="A43" s="147">
        <x:v>39</x:v>
      </x:c>
      <x:c r="B43" s="86" t="s">
        <x:v>436</x:v>
      </x:c>
      <x:c r="C43" s="86" t="s">
        <x:v>328</x:v>
      </x:c>
      <x:c r="D43" s="86">
        <x:v>2025</x:v>
      </x:c>
      <x:c r="E43" s="86"/>
      <x:c r="F43" s="86" t="s">
        <x:v>437</x:v>
      </x:c>
      <x:c r="G43" s="86" t="s">
        <x:v>438</x:v>
      </x:c>
      <x:c r="H43" s="86" t="s">
        <x:v>439</x:v>
      </x:c>
      <x:c r="I43" s="86"/>
      <x:c r="J43" s="86"/>
      <x:c r="K43" s="86" t="s">
        <x:v>440</x:v>
      </x:c>
      <x:c r="L43" s="86" t="s">
        <x:v>428</x:v>
      </x:c>
      <x:c r="M43" s="86" t="s">
        <x:v>429</x:v>
      </x:c>
      <x:c r="N43" s="86" t="s">
        <x:v>430</x:v>
      </x:c>
      <x:c r="O43" s="86" t="s">
        <x:v>114</x:v>
      </x:c>
      <x:c r="P43" s="86" t="s">
        <x:v>441</x:v>
      </x:c>
      <x:c r="Q43" s="86" t="s">
        <x:v>442</x:v>
      </x:c>
      <x:c r="R43" s="86" t="s">
        <x:v>443</x:v>
      </x:c>
      <x:c r="S43" s="86"/>
      <x:c r="T43" s="92"/>
      <x:c r="U43" s="86"/>
      <x:c r="V43" s="86"/>
      <x:c r="W43" s="86"/>
      <x:c r="X43" s="86"/>
      <x:c r="Y43" s="86"/>
      <x:c r="Z43" s="86"/>
      <x:c r="AA43" s="86"/>
      <x:c r="AB43" s="86"/>
      <x:c r="AC43" s="86"/>
      <x:c r="AD43" s="86"/>
      <x:c r="AE43" s="86"/>
      <x:c r="AF43" s="86"/>
      <x:c r="AG43" s="86"/>
      <x:c r="AH43" s="97"/>
      <x:c r="AI43" s="98"/>
      <x:c r="AJ43" s="100"/>
      <x:c r="AK43" s="98"/>
      <x:c r="AL43" s="101">
        <x:f t="shared" si="3"/>
        <x:v>0</x:v>
      </x:c>
      <x:c r="AM43" s="86"/>
      <x:c r="AN43" s="87"/>
      <x:c r="AO43" s="87"/>
      <x:c r="AP43" s="87"/>
      <x:c r="AQ43" s="87"/>
      <x:c r="AR43" s="87"/>
      <x:c r="AS43" s="87"/>
      <x:c r="AT43" s="6" t="n">
        <x:f>SUM(AN43:AS43)</x:f>
        <x:v>0</x:v>
      </x:c>
      <x:c r="AU43" s="107"/>
    </x:row>
    <x:row r="44" ht="144">
      <x:c r="A44" s="146">
        <x:v>40</x:v>
      </x:c>
      <x:c r="B44" s="86" t="s">
        <x:v>444</x:v>
      </x:c>
      <x:c r="C44" s="86" t="s">
        <x:v>328</x:v>
      </x:c>
      <x:c r="D44" s="86">
        <x:v>2025</x:v>
      </x:c>
      <x:c r="E44" s="86"/>
      <x:c r="F44" s="86" t="s">
        <x:v>445</x:v>
      </x:c>
      <x:c r="G44" s="86" t="s">
        <x:v>177</x:v>
      </x:c>
      <x:c r="H44" s="86" t="s">
        <x:v>446</x:v>
      </x:c>
      <x:c r="I44" s="86" t="s">
        <x:v>447</x:v>
      </x:c>
      <x:c r="J44" s="86"/>
      <x:c r="K44" s="86" t="s">
        <x:v>448</x:v>
      </x:c>
      <x:c r="L44" s="86" t="s">
        <x:v>428</x:v>
      </x:c>
      <x:c r="M44" s="86" t="s">
        <x:v>429</x:v>
      </x:c>
      <x:c r="N44" s="86" t="s">
        <x:v>449</x:v>
      </x:c>
      <x:c r="O44" s="86"/>
      <x:c r="P44" s="86" t="s">
        <x:v>450</x:v>
      </x:c>
      <x:c r="Q44" s="86" t="s">
        <x:v>451</x:v>
      </x:c>
      <x:c r="R44" s="86" t="s">
        <x:v>449</x:v>
      </x:c>
      <x:c r="S44" s="86"/>
      <x:c r="T44" s="92"/>
      <x:c r="U44" s="86"/>
      <x:c r="V44" s="86"/>
      <x:c r="W44" s="86"/>
      <x:c r="X44" s="86"/>
      <x:c r="Y44" s="86"/>
      <x:c r="Z44" s="86"/>
      <x:c r="AA44" s="86"/>
      <x:c r="AB44" s="86"/>
      <x:c r="AC44" s="86"/>
      <x:c r="AD44" s="86"/>
      <x:c r="AE44" s="86"/>
      <x:c r="AF44" s="86"/>
      <x:c r="AG44" s="86"/>
      <x:c r="AH44" s="97"/>
      <x:c r="AI44" s="98"/>
      <x:c r="AJ44" s="100"/>
      <x:c r="AK44" s="98"/>
      <x:c r="AL44" s="101" t="n">
        <x:f>SUM(AI44:AK44)/3</x:f>
        <x:v>0</x:v>
      </x:c>
      <x:c r="AM44" s="86"/>
      <x:c r="AN44" s="87"/>
      <x:c r="AO44" s="87"/>
      <x:c r="AP44" s="87"/>
      <x:c r="AQ44" s="87"/>
      <x:c r="AR44" s="87"/>
      <x:c r="AS44" s="87"/>
      <x:c r="AT44" s="87" t="n">
        <x:f>SUM(AN44:AS44)</x:f>
        <x:v>0</x:v>
      </x:c>
      <x:c r="AU44" s="107"/>
    </x:row>
    <x:row r="45" ht="28.799999237060547">
      <x:c r="B45" s="9"/>
      <x:c r="C45" s="9"/>
      <x:c r="D45" s="9"/>
      <x:c r="F45" s="9"/>
      <x:c r="V45" s="102" t="s">
        <x:v>452</x:v>
      </x:c>
      <x:c r="W45" s="102" t="n">
        <x:f t="shared" ref="W45:AF45" si="4">COUNTIF(X2:X26, "X")</x:f>
        <x:v>1</x:v>
      </x:c>
      <x:c r="X45" s="102">
        <x:f t="shared" si="4"/>
        <x:v>9</x:v>
      </x:c>
      <x:c r="Y45" s="102">
        <x:f t="shared" si="4"/>
        <x:v>1</x:v>
      </x:c>
      <x:c r="Z45" s="102">
        <x:f t="shared" si="4"/>
        <x:v>6</x:v>
      </x:c>
      <x:c r="AA45" s="102">
        <x:f t="shared" si="4"/>
        <x:v>0</x:v>
      </x:c>
      <x:c r="AB45" s="102">
        <x:f t="shared" si="4"/>
        <x:v>7</x:v>
      </x:c>
      <x:c r="AC45" s="102">
        <x:f t="shared" si="4"/>
        <x:v>0</x:v>
      </x:c>
      <x:c r="AD45" s="102">
        <x:f t="shared" si="4"/>
        <x:v>1</x:v>
      </x:c>
      <x:c r="AE45" s="102">
        <x:f t="shared" si="4"/>
        <x:v>0</x:v>
      </x:c>
      <x:c r="AF45" s="102">
        <x:f t="shared" si="4"/>
        <x:v>0</x:v>
      </x:c>
      <x:c r="AG45" s="12"/>
      <x:c r="AR45" s="90" t="s">
        <x:v>453</x:v>
      </x:c>
      <x:c r="AS45" s="103" t="n">
        <x:f>SUM(AT2:AT44)</x:f>
        <x:v>51532.9</x:v>
      </x:c>
    </x:row>
    <x:row r="46" ht="14.399999618530273">
      <x:c r="B46" s="142"/>
      <x:c r="C46" s="18"/>
      <x:c r="D46" s="18"/>
      <x:c r="F46" s="143" t="s">
        <x:v>454</x:v>
      </x:c>
      <x:c r="V46" s="31" t="s">
        <x:v>455</x:v>
      </x:c>
      <x:c r="W46" s="229" t="n">
        <x:f>SUM(W45:AF45)</x:f>
        <x:v>25</x:v>
      </x:c>
      <x:c r="X46" s="230"/>
      <x:c r="Y46" s="230"/>
      <x:c r="Z46" s="230"/>
      <x:c r="AA46" s="230"/>
      <x:c r="AB46" s="230"/>
      <x:c r="AC46" s="230"/>
      <x:c r="AD46" s="230"/>
      <x:c r="AE46" s="230"/>
      <x:c r="AF46" s="231"/>
      <x:c r="AI46" s="232" t="s">
        <x:v>456</x:v>
      </x:c>
      <x:c r="AJ46" s="233"/>
      <x:c r="AK46" s="234"/>
      <x:c r="AL46" s="12"/>
      <x:c r="AM46" s="12"/>
      <x:c r="AN46" s="12"/>
      <x:c r="AO46" s="12"/>
      <x:c r="AP46" s="12"/>
      <x:c r="AQ46" s="12"/>
      <x:c r="AR46" s="12"/>
      <x:c r="AS46" s="12"/>
    </x:row>
    <x:row r="47" ht="14.399999618530273">
      <x:c r="C47" s="9"/>
      <x:c r="D47" s="9"/>
      <x:c r="E47" s="147"/>
      <x:c r="F47" s="5" t="s">
        <x:v>23</x:v>
      </x:c>
      <x:c r="AI47" s="27"/>
      <x:c r="AJ47" s="15" t="s">
        <x:v>457</x:v>
      </x:c>
      <x:c r="AK47" s="15" t="s">
        <x:v>458</x:v>
      </x:c>
      <x:c r="AL47" s="11"/>
      <x:c r="AM47" s="2"/>
      <x:c r="AN47" s="2"/>
      <x:c r="AO47" s="2"/>
      <x:c r="AP47" s="2"/>
      <x:c r="AQ47" s="11"/>
      <x:c r="AR47" s="11"/>
      <x:c r="AS47" s="11"/>
    </x:row>
    <x:row r="48" ht="14.399999618530273" customHeight="1">
      <x:c r="C48" s="9"/>
      <x:c r="D48" s="9"/>
      <x:c r="E48" s="148"/>
      <x:c r="F48" s="5" t="s">
        <x:v>24</x:v>
      </x:c>
      <x:c r="AI48" s="28"/>
      <x:c r="AJ48" s="15" t="s">
        <x:v>459</x:v>
      </x:c>
      <x:c r="AK48" s="15" t="s">
        <x:v>460</x:v>
      </x:c>
      <x:c r="AL48" s="11"/>
      <x:c r="AM48" s="2"/>
      <x:c r="AN48" s="2"/>
      <x:c r="AO48" s="2"/>
      <x:c r="AP48" s="2"/>
      <x:c r="AQ48" s="11"/>
      <x:c r="AR48" s="11"/>
      <x:c r="AS48" s="11"/>
    </x:row>
    <x:row r="49" ht="14.399999618530273">
      <x:c r="C49" s="9"/>
      <x:c r="D49" s="9"/>
      <x:c r="E49" s="149"/>
      <x:c r="F49" s="5" t="s">
        <x:v>25</x:v>
      </x:c>
      <x:c r="AI49" s="29"/>
      <x:c r="AJ49" s="15" t="s">
        <x:v>461</x:v>
      </x:c>
      <x:c r="AK49" s="15" t="s">
        <x:v>462</x:v>
      </x:c>
      <x:c r="AL49" s="11"/>
      <x:c r="AM49" s="2"/>
      <x:c r="AN49" s="2"/>
      <x:c r="AO49" s="2"/>
      <x:c r="AP49" s="2"/>
      <x:c r="AQ49" s="11"/>
      <x:c r="AR49" s="11"/>
      <x:c r="AS49" s="11"/>
    </x:row>
    <x:row r="50" ht="14.399999618530273">
      <x:c r="C50" s="9"/>
      <x:c r="D50" s="9"/>
      <x:c r="E50" s="150"/>
      <x:c r="F50" s="5" t="s">
        <x:v>26</x:v>
      </x:c>
      <x:c r="AI50" s="17"/>
      <x:c r="AJ50" s="15" t="s">
        <x:v>463</x:v>
      </x:c>
      <x:c r="AK50" s="15" t="s">
        <x:v>464</x:v>
      </x:c>
      <x:c r="AL50" s="11"/>
      <x:c r="AM50" s="2"/>
      <x:c r="AN50" s="2"/>
      <x:c r="AO50" s="2"/>
      <x:c r="AP50" s="2"/>
      <x:c r="AQ50" s="11"/>
      <x:c r="AR50" s="11"/>
      <x:c r="AS50" s="11"/>
    </x:row>
    <x:row r="51" ht="14.399999618530273">
      <x:c r="C51" s="9"/>
      <x:c r="D51" s="9"/>
      <x:c r="E51" s="151"/>
      <x:c r="F51" s="5" t="s">
        <x:v>27</x:v>
      </x:c>
    </x:row>
    <x:row r="52" ht="14.399999618530273">
      <x:c r="C52" s="9"/>
      <x:c r="D52" s="9"/>
      <x:c r="E52" s="152"/>
      <x:c r="F52" s="5" t="s">
        <x:v>28</x:v>
      </x:c>
    </x:row>
    <x:row r="53" ht="14.399999618530273">
      <x:c r="C53" s="9"/>
      <x:c r="D53" s="9"/>
      <x:c r="E53" s="153"/>
      <x:c r="F53" s="5" t="s">
        <x:v>29</x:v>
      </x:c>
    </x:row>
    <x:row r="54" ht="14.399999618530273">
      <x:c r="C54" s="9"/>
      <x:c r="D54" s="9"/>
      <x:c r="E54" s="154"/>
      <x:c r="F54" s="5" t="s">
        <x:v>30</x:v>
      </x:c>
    </x:row>
    <x:row r="55" ht="14.399999618530273">
      <x:c r="C55" s="9"/>
      <x:c r="D55" s="9"/>
      <x:c r="E55" s="146"/>
      <x:c r="F55" s="5" t="s">
        <x:v>31</x:v>
      </x:c>
    </x:row>
    <x:row r="56" ht="14.399999618530273">
      <x:c r="C56" s="9"/>
      <x:c r="D56" s="9"/>
      <x:c r="E56" s="155"/>
      <x:c r="F56" s="5" t="s">
        <x:v>32</x:v>
      </x:c>
    </x:row>
    <x:row r="57" ht="14.399999618530273">
      <x:c r="F57" s="9"/>
    </x:row>
    <x:row r="58" ht="14.399999618530273">
      <x:c r="B58" s="9"/>
      <x:c r="C58" s="9"/>
      <x:c r="D58" s="9"/>
      <x:c r="F58" s="9"/>
    </x:row>
    <x:row r="59" ht="14.399999618530273">
      <x:c r="B59" s="9"/>
      <x:c r="C59" s="9"/>
      <x:c r="D59" s="9"/>
      <x:c r="F59" s="9"/>
    </x:row>
    <x:row r="60" ht="14.399999618530273">
      <x:c r="B60" s="9"/>
      <x:c r="C60" s="9"/>
      <x:c r="D60" s="9"/>
      <x:c r="F60" s="9"/>
    </x:row>
    <x:row r="61" ht="14.399999618530273">
      <x:c r="B61" s="9"/>
      <x:c r="C61" s="9"/>
      <x:c r="D61" s="9"/>
      <x:c r="F61" s="9"/>
    </x:row>
    <x:row r="62" ht="14.399999618530273">
      <x:c r="B62" s="9"/>
      <x:c r="C62" s="9"/>
      <x:c r="D62" s="9"/>
      <x:c r="F62" s="9"/>
    </x:row>
    <x:row r="63" ht="14.399999618530273">
      <x:c r="B63" s="9"/>
      <x:c r="C63" s="9"/>
      <x:c r="D63" s="9"/>
      <x:c r="F63" s="9"/>
    </x:row>
    <x:row r="64" ht="14.399999618530273">
      <x:c r="B64" s="9"/>
      <x:c r="C64" s="9"/>
      <x:c r="D64" s="9"/>
      <x:c r="F64" s="9"/>
    </x:row>
    <x:row r="65" ht="14.399999618530273">
      <x:c r="B65" s="9"/>
      <x:c r="C65" s="9"/>
      <x:c r="D65" s="9"/>
      <x:c r="F65" s="9"/>
    </x:row>
    <x:row r="66" ht="14.399999618530273">
      <x:c r="B66" s="9"/>
      <x:c r="C66" s="9"/>
      <x:c r="D66" s="9"/>
      <x:c r="F66" s="9"/>
    </x:row>
    <x:row r="67" ht="14.399999618530273">
      <x:c r="B67" s="9"/>
      <x:c r="C67" s="9"/>
      <x:c r="D67" s="9"/>
      <x:c r="F67" s="9"/>
    </x:row>
    <x:row r="68" ht="14.399999618530273">
      <x:c r="B68" s="9"/>
      <x:c r="C68" s="9"/>
      <x:c r="D68" s="9"/>
      <x:c r="F68" s="9"/>
    </x:row>
    <x:row r="69" ht="14.399999618530273">
      <x:c r="B69" s="9"/>
      <x:c r="C69" s="9"/>
      <x:c r="D69" s="9"/>
      <x:c r="F69" s="9"/>
    </x:row>
    <x:row r="70" ht="14.399999618530273">
      <x:c r="B70" s="9"/>
      <x:c r="C70" s="9"/>
      <x:c r="D70" s="9"/>
      <x:c r="F70" s="9"/>
    </x:row>
    <x:row r="71" ht="14.399999618530273">
      <x:c r="B71" s="9"/>
      <x:c r="C71" s="9"/>
      <x:c r="D71" s="9"/>
      <x:c r="F71" s="9"/>
    </x:row>
    <x:row r="72" ht="14.399999618530273">
      <x:c r="B72" s="9"/>
      <x:c r="C72" s="9"/>
      <x:c r="D72" s="9"/>
      <x:c r="F72" s="9"/>
    </x:row>
    <x:row r="73" ht="14.399999618530273">
      <x:c r="B73" s="9"/>
      <x:c r="C73" s="9"/>
      <x:c r="D73" s="9"/>
      <x:c r="F73" s="9"/>
    </x:row>
    <x:row r="74" ht="14.399999618530273">
      <x:c r="B74" s="9"/>
      <x:c r="C74" s="9"/>
      <x:c r="D74" s="9"/>
      <x:c r="F74" s="9"/>
    </x:row>
    <x:row r="75" ht="14.399999618530273">
      <x:c r="B75" s="9"/>
      <x:c r="C75" s="9"/>
      <x:c r="D75" s="9"/>
      <x:c r="F75" s="9"/>
    </x:row>
    <x:row r="76" ht="14.399999618530273">
      <x:c r="B76" s="9"/>
      <x:c r="C76" s="9"/>
      <x:c r="D76" s="9"/>
      <x:c r="F76" s="9"/>
    </x:row>
    <x:row r="77" ht="14.399999618530273">
      <x:c r="B77" s="9"/>
      <x:c r="C77" s="9"/>
      <x:c r="D77" s="9"/>
      <x:c r="F77" s="9"/>
    </x:row>
    <x:row r="78" ht="14.399999618530273">
      <x:c r="B78" s="9"/>
      <x:c r="C78" s="9"/>
      <x:c r="D78" s="9"/>
      <x:c r="F78" s="9"/>
    </x:row>
    <x:row r="79" ht="14.399999618530273">
      <x:c r="B79" s="9"/>
      <x:c r="C79" s="9"/>
      <x:c r="D79" s="9"/>
      <x:c r="F79" s="9"/>
    </x:row>
    <x:row r="80" ht="14.399999618530273">
      <x:c r="B80" s="9"/>
      <x:c r="C80" s="9"/>
      <x:c r="D80" s="9"/>
      <x:c r="F80" s="9"/>
    </x:row>
    <x:row r="81" ht="14.399999618530273">
      <x:c r="B81" s="9"/>
      <x:c r="C81" s="9"/>
      <x:c r="D81" s="9"/>
      <x:c r="F81" s="9"/>
    </x:row>
    <x:row r="82" ht="14.399999618530273">
      <x:c r="B82" s="9"/>
      <x:c r="C82" s="9"/>
      <x:c r="D82" s="9"/>
      <x:c r="F82" s="9"/>
    </x:row>
    <x:row r="83" ht="14.399999618530273">
      <x:c r="B83" s="9"/>
      <x:c r="C83" s="9"/>
      <x:c r="D83" s="9"/>
      <x:c r="F83" s="9"/>
    </x:row>
    <x:row r="84" ht="14.399999618530273">
      <x:c r="B84" s="9"/>
      <x:c r="C84" s="9"/>
      <x:c r="D84" s="9"/>
      <x:c r="F84" s="9"/>
    </x:row>
    <x:row r="85" ht="14.399999618530273">
      <x:c r="B85" s="9"/>
      <x:c r="C85" s="9"/>
      <x:c r="D85" s="9"/>
      <x:c r="F85" s="9"/>
    </x:row>
    <x:row r="86" ht="14.399999618530273">
      <x:c r="B86" s="9"/>
      <x:c r="C86" s="9"/>
      <x:c r="D86" s="9"/>
      <x:c r="F86" s="9"/>
    </x:row>
    <x:row r="87" ht="14.399999618530273">
      <x:c r="B87" s="9"/>
      <x:c r="C87" s="9"/>
      <x:c r="D87" s="9"/>
      <x:c r="F87" s="9"/>
    </x:row>
    <x:row r="88" ht="14.399999618530273">
      <x:c r="B88" s="9"/>
      <x:c r="C88" s="9"/>
      <x:c r="D88" s="9"/>
      <x:c r="F88" s="9"/>
    </x:row>
    <x:row r="89" ht="14.399999618530273">
      <x:c r="B89" s="9"/>
      <x:c r="C89" s="9"/>
      <x:c r="D89" s="9"/>
      <x:c r="F89" s="9"/>
    </x:row>
    <x:row r="90" ht="14.399999618530273">
      <x:c r="B90" s="9"/>
      <x:c r="C90" s="9"/>
      <x:c r="D90" s="9"/>
      <x:c r="F90" s="9"/>
    </x:row>
    <x:row r="91" ht="14.399999618530273">
      <x:c r="B91" s="9"/>
      <x:c r="C91" s="9"/>
      <x:c r="D91" s="9"/>
      <x:c r="F91" s="9"/>
    </x:row>
    <x:row r="92" ht="14.399999618530273">
      <x:c r="B92" s="9"/>
      <x:c r="C92" s="9"/>
      <x:c r="D92" s="9"/>
      <x:c r="F92" s="9"/>
    </x:row>
    <x:row r="93" ht="14.399999618530273">
      <x:c r="B93" s="9"/>
      <x:c r="C93" s="9"/>
      <x:c r="D93" s="9"/>
      <x:c r="F93" s="9"/>
    </x:row>
    <x:row r="94" ht="14.399999618530273">
      <x:c r="B94" s="9"/>
      <x:c r="C94" s="9"/>
      <x:c r="D94" s="9"/>
      <x:c r="F94" s="9"/>
    </x:row>
    <x:row r="95" ht="14.399999618530273">
      <x:c r="B95" s="9"/>
      <x:c r="C95" s="9"/>
      <x:c r="D95" s="9"/>
      <x:c r="F95" s="9"/>
    </x:row>
    <x:row r="96" ht="14.399999618530273">
      <x:c r="B96" s="9"/>
      <x:c r="C96" s="9"/>
      <x:c r="D96" s="9"/>
      <x:c r="F96" s="9"/>
    </x:row>
    <x:row r="97" ht="14.399999618530273">
      <x:c r="B97" s="9"/>
      <x:c r="C97" s="9"/>
      <x:c r="D97" s="9"/>
      <x:c r="F97" s="9"/>
    </x:row>
    <x:row r="98" ht="14.399999618530273">
      <x:c r="B98" s="9"/>
      <x:c r="C98" s="9"/>
      <x:c r="D98" s="9"/>
      <x:c r="F98" s="9"/>
    </x:row>
    <x:row r="99" ht="14.399999618530273">
      <x:c r="B99" s="9"/>
      <x:c r="C99" s="9"/>
      <x:c r="D99" s="9"/>
      <x:c r="F99" s="9"/>
    </x:row>
    <x:row r="100" ht="14.399999618530273">
      <x:c r="B100" s="9"/>
      <x:c r="C100" s="9"/>
      <x:c r="D100" s="9"/>
      <x:c r="F100" s="9"/>
    </x:row>
    <x:row r="101" ht="14.399999618530273">
      <x:c r="B101" s="9"/>
      <x:c r="C101" s="9"/>
      <x:c r="D101" s="9"/>
      <x:c r="F101" s="9"/>
    </x:row>
    <x:row r="102" ht="14.399999618530273">
      <x:c r="B102" s="9"/>
      <x:c r="C102" s="9"/>
      <x:c r="D102" s="9"/>
      <x:c r="F102" s="9"/>
    </x:row>
    <x:row r="103" ht="14.399999618530273">
      <x:c r="B103" s="9"/>
      <x:c r="C103" s="9"/>
      <x:c r="D103" s="9"/>
      <x:c r="F103" s="9"/>
    </x:row>
    <x:row r="104" ht="14.399999618530273">
      <x:c r="B104" s="9"/>
      <x:c r="C104" s="9"/>
      <x:c r="D104" s="9"/>
      <x:c r="F104" s="9"/>
    </x:row>
    <x:row r="105" ht="14.399999618530273">
      <x:c r="B105" s="9"/>
      <x:c r="C105" s="9"/>
      <x:c r="D105" s="9"/>
      <x:c r="F105" s="9"/>
    </x:row>
    <x:row r="106" ht="14.399999618530273">
      <x:c r="B106" s="9"/>
      <x:c r="C106" s="9"/>
      <x:c r="D106" s="9"/>
      <x:c r="F106" s="9"/>
    </x:row>
    <x:row r="107" ht="14.399999618530273">
      <x:c r="B107" s="9"/>
      <x:c r="C107" s="9"/>
      <x:c r="D107" s="9"/>
      <x:c r="F107" s="9"/>
    </x:row>
    <x:row r="108" ht="14.399999618530273">
      <x:c r="B108" s="9"/>
      <x:c r="C108" s="9"/>
      <x:c r="D108" s="9"/>
      <x:c r="F108" s="9"/>
    </x:row>
    <x:row r="109" ht="14.399999618530273">
      <x:c r="B109" s="9"/>
      <x:c r="C109" s="9"/>
      <x:c r="D109" s="9"/>
      <x:c r="F109" s="9"/>
    </x:row>
    <x:row r="110" ht="14.399999618530273">
      <x:c r="B110" s="9"/>
      <x:c r="C110" s="9"/>
      <x:c r="D110" s="9"/>
      <x:c r="F110" s="9"/>
    </x:row>
    <x:row r="111" ht="14.399999618530273">
      <x:c r="B111" s="9"/>
      <x:c r="C111" s="9"/>
      <x:c r="D111" s="9"/>
      <x:c r="F111" s="9"/>
    </x:row>
    <x:row r="112" ht="14.399999618530273">
      <x:c r="B112" s="9"/>
      <x:c r="C112" s="9"/>
      <x:c r="D112" s="9"/>
      <x:c r="F112" s="9"/>
    </x:row>
    <x:row r="113" ht="14.399999618530273">
      <x:c r="B113" s="9"/>
      <x:c r="C113" s="9"/>
      <x:c r="D113" s="9"/>
      <x:c r="F113" s="9"/>
    </x:row>
    <x:row r="114" ht="14.399999618530273">
      <x:c r="B114" s="9"/>
      <x:c r="C114" s="9"/>
      <x:c r="D114" s="9"/>
      <x:c r="F114" s="9"/>
    </x:row>
    <x:row r="115" ht="14.399999618530273">
      <x:c r="B115" s="9"/>
      <x:c r="C115" s="9"/>
      <x:c r="D115" s="9"/>
      <x:c r="F115" s="9"/>
    </x:row>
    <x:row r="116" ht="14.399999618530273">
      <x:c r="B116" s="9"/>
      <x:c r="C116" s="9"/>
      <x:c r="D116" s="9"/>
      <x:c r="F116" s="9"/>
    </x:row>
    <x:row r="117" ht="14.399999618530273">
      <x:c r="B117" s="9"/>
      <x:c r="C117" s="9"/>
      <x:c r="D117" s="9"/>
      <x:c r="F117" s="9"/>
    </x:row>
    <x:row r="118" ht="14.399999618530273">
      <x:c r="B118" s="9"/>
      <x:c r="C118" s="9"/>
      <x:c r="D118" s="9"/>
      <x:c r="F118" s="9"/>
    </x:row>
    <x:row r="119" ht="14.399999618530273">
      <x:c r="B119" s="9"/>
      <x:c r="C119" s="9"/>
      <x:c r="D119" s="9"/>
      <x:c r="F119" s="9"/>
    </x:row>
    <x:row r="120" ht="14.399999618530273">
      <x:c r="B120" s="9"/>
      <x:c r="C120" s="9"/>
      <x:c r="D120" s="9"/>
      <x:c r="F120" s="9"/>
    </x:row>
    <x:row r="121" ht="14.399999618530273">
      <x:c r="B121" s="9"/>
      <x:c r="C121" s="9"/>
      <x:c r="D121" s="9"/>
      <x:c r="F121" s="9"/>
    </x:row>
    <x:row r="122" ht="14.399999618530273">
      <x:c r="B122" s="9"/>
      <x:c r="C122" s="9"/>
      <x:c r="D122" s="9"/>
      <x:c r="F122" s="9"/>
    </x:row>
    <x:row r="123" ht="14.399999618530273">
      <x:c r="B123" s="9"/>
      <x:c r="C123" s="9"/>
      <x:c r="D123" s="9"/>
      <x:c r="F123" s="9"/>
    </x:row>
    <x:row r="124" ht="14.399999618530273">
      <x:c r="B124" s="9"/>
      <x:c r="C124" s="9"/>
      <x:c r="D124" s="9"/>
      <x:c r="F124" s="9"/>
    </x:row>
    <x:row r="125" ht="14.399999618530273">
      <x:c r="B125" s="9"/>
      <x:c r="C125" s="9"/>
      <x:c r="D125" s="9"/>
      <x:c r="F125" s="9"/>
    </x:row>
    <x:row r="126" ht="14.399999618530273">
      <x:c r="B126" s="9"/>
      <x:c r="C126" s="9"/>
      <x:c r="D126" s="9"/>
      <x:c r="F126" s="9"/>
    </x:row>
    <x:row r="127" ht="14.399999618530273">
      <x:c r="B127" s="9"/>
      <x:c r="C127" s="9"/>
      <x:c r="D127" s="9"/>
      <x:c r="F127" s="9"/>
    </x:row>
    <x:row r="128" ht="14.399999618530273">
      <x:c r="B128" s="9"/>
      <x:c r="C128" s="9"/>
      <x:c r="D128" s="9"/>
      <x:c r="F128" s="9"/>
    </x:row>
    <x:row r="129" ht="14.399999618530273">
      <x:c r="B129" s="9"/>
      <x:c r="C129" s="9"/>
      <x:c r="D129" s="9"/>
      <x:c r="F129" s="9"/>
    </x:row>
    <x:row r="130" ht="14.399999618530273">
      <x:c r="B130" s="9"/>
      <x:c r="C130" s="9"/>
      <x:c r="D130" s="9"/>
      <x:c r="F130" s="9"/>
    </x:row>
    <x:row r="131" ht="14.399999618530273">
      <x:c r="B131" s="9"/>
      <x:c r="C131" s="9"/>
      <x:c r="D131" s="9"/>
      <x:c r="F131" s="9"/>
    </x:row>
    <x:row r="132" ht="14.399999618530273">
      <x:c r="B132" s="9"/>
      <x:c r="C132" s="9"/>
      <x:c r="D132" s="9"/>
      <x:c r="F132" s="9"/>
    </x:row>
    <x:row r="133" ht="14.399999618530273">
      <x:c r="B133" s="9"/>
      <x:c r="C133" s="9"/>
      <x:c r="D133" s="9"/>
      <x:c r="F133" s="9"/>
    </x:row>
    <x:row r="134" ht="14.399999618530273">
      <x:c r="B134" s="9"/>
      <x:c r="C134" s="9"/>
      <x:c r="D134" s="9"/>
      <x:c r="F134" s="9"/>
    </x:row>
    <x:row r="135" ht="14.399999618530273">
      <x:c r="B135" s="9"/>
      <x:c r="C135" s="9"/>
      <x:c r="D135" s="9"/>
      <x:c r="F135" s="9"/>
    </x:row>
    <x:row r="136" ht="14.399999618530273">
      <x:c r="B136" s="9"/>
      <x:c r="C136" s="9"/>
      <x:c r="D136" s="9"/>
      <x:c r="F136" s="9"/>
    </x:row>
    <x:row r="137" ht="14.399999618530273">
      <x:c r="B137" s="9"/>
      <x:c r="C137" s="9"/>
      <x:c r="D137" s="9"/>
      <x:c r="F137" s="9"/>
    </x:row>
    <x:row r="138" ht="14.399999618530273">
      <x:c r="B138" s="9"/>
      <x:c r="C138" s="9"/>
      <x:c r="D138" s="9"/>
      <x:c r="F138" s="9"/>
    </x:row>
    <x:row r="139" ht="14.399999618530273">
      <x:c r="B139" s="9"/>
      <x:c r="C139" s="9"/>
      <x:c r="D139" s="9"/>
      <x:c r="F139" s="9"/>
    </x:row>
    <x:row r="140" ht="14.399999618530273">
      <x:c r="B140" s="9"/>
      <x:c r="C140" s="9"/>
      <x:c r="D140" s="9"/>
      <x:c r="F140" s="9"/>
    </x:row>
    <x:row r="141" ht="14.399999618530273">
      <x:c r="B141" s="9"/>
      <x:c r="C141" s="9"/>
      <x:c r="D141" s="9"/>
      <x:c r="F141" s="9"/>
    </x:row>
    <x:row r="142" ht="14.399999618530273">
      <x:c r="B142" s="9"/>
      <x:c r="C142" s="9"/>
      <x:c r="D142" s="9"/>
      <x:c r="F142" s="9"/>
    </x:row>
    <x:row r="143" ht="14.399999618530273">
      <x:c r="B143" s="9"/>
      <x:c r="C143" s="9"/>
      <x:c r="D143" s="9"/>
      <x:c r="F143" s="9"/>
    </x:row>
    <x:row r="144" ht="14.399999618530273">
      <x:c r="B144" s="9"/>
      <x:c r="C144" s="9"/>
      <x:c r="D144" s="9"/>
      <x:c r="F144" s="9"/>
    </x:row>
    <x:row r="145" ht="14.399999618530273">
      <x:c r="B145" s="9"/>
      <x:c r="C145" s="9"/>
      <x:c r="D145" s="9"/>
      <x:c r="F145" s="9"/>
    </x:row>
    <x:row r="146" ht="14.399999618530273">
      <x:c r="B146" s="9"/>
      <x:c r="C146" s="9"/>
      <x:c r="D146" s="9"/>
      <x:c r="F146" s="9"/>
    </x:row>
  </x:sheetData>
  <x:mergeCells>
    <x:mergeCell ref="W46:AF46"/>
    <x:mergeCell ref="AI46:AK46"/>
  </x:mergeCells>
  <x:conditionalFormatting sqref="C2:C44">
    <x:cfRule type="containsText" dxfId="3" priority="4" operator="containsText" text="Completada">
      <x:formula>NOT(ISERROR(SEARCH("Completada",C2)))</x:formula>
    </x:cfRule>
  </x:conditionalFormatting>
  <x:conditionalFormatting sqref="C2:C111">
    <x:cfRule type="containsText" dxfId="2" priority="1" operator="containsText" text="Fallida">
      <x:formula>NOT(ISERROR(SEARCH("Fallida",C2)))</x:formula>
    </x:cfRule>
    <x:cfRule type="containsText" dxfId="1" priority="2" operator="containsText" text="No iniciada">
      <x:formula>NOT(ISERROR(SEARCH("No iniciada",C2)))</x:formula>
    </x:cfRule>
    <x:cfRule type="containsText" dxfId="0" priority="3" operator="containsText" text="En curso">
      <x:formula>NOT(ISERROR(SEARCH("En curso",C2)))</x:formula>
    </x:cfRule>
  </x:conditionalFormatting>
  <x:dataValidations count="1">
    <x:dataValidation type="list" allowBlank="1" showInputMessage="1" showErrorMessage="1" sqref="C2:C42">
      <x:formula1>"No iniciada, En curso, Completada, Fallida"</x:formula1>
    </x:dataValidation>
  </x:dataValidations>
  <x:hyperlinks>
    <x:hyperlink xmlns:r="http://schemas.openxmlformats.org/officeDocument/2006/relationships" ref="F2" r:id="R03cc5a5019e94e02"/>
    <x:hyperlink xmlns:r="http://schemas.openxmlformats.org/officeDocument/2006/relationships" ref="F3" r:id="Rde7fa7f0e70e483e"/>
    <x:hyperlink xmlns:r="http://schemas.openxmlformats.org/officeDocument/2006/relationships" ref="F4" r:id="Rb300926c7b244a09"/>
    <x:hyperlink xmlns:r="http://schemas.openxmlformats.org/officeDocument/2006/relationships" ref="F5" r:id="R7e49cff108664f04"/>
    <x:hyperlink xmlns:r="http://schemas.openxmlformats.org/officeDocument/2006/relationships" ref="F6" r:id="Rf4a10410d5444055"/>
    <x:hyperlink xmlns:r="http://schemas.openxmlformats.org/officeDocument/2006/relationships" ref="F7" r:id="Rf677fb0a8a534bf8"/>
    <x:hyperlink xmlns:r="http://schemas.openxmlformats.org/officeDocument/2006/relationships" ref="F8" r:id="R0db58135ca11489e"/>
    <x:hyperlink xmlns:r="http://schemas.openxmlformats.org/officeDocument/2006/relationships" ref="F9" r:id="R55030d5a1eca4342"/>
    <x:hyperlink xmlns:r="http://schemas.openxmlformats.org/officeDocument/2006/relationships" ref="F10" r:id="Rf32e55dbff914adb"/>
    <x:hyperlink xmlns:r="http://schemas.openxmlformats.org/officeDocument/2006/relationships" ref="F11" r:id="R5f53cb8ae7c54d23"/>
    <x:hyperlink xmlns:r="http://schemas.openxmlformats.org/officeDocument/2006/relationships" ref="F12" r:id="R292a056c126c46f1"/>
    <x:hyperlink xmlns:r="http://schemas.openxmlformats.org/officeDocument/2006/relationships" ref="F13" r:id="R41487ba230ee4230"/>
    <x:hyperlink xmlns:r="http://schemas.openxmlformats.org/officeDocument/2006/relationships" ref="F14" r:id="R75f467f08a594c13"/>
    <x:hyperlink xmlns:r="http://schemas.openxmlformats.org/officeDocument/2006/relationships" ref="F15" r:id="R51fb59cdf04d4531"/>
    <x:hyperlink xmlns:r="http://schemas.openxmlformats.org/officeDocument/2006/relationships" ref="F16" r:id="R0ba3891923c5499a"/>
    <x:hyperlink xmlns:r="http://schemas.openxmlformats.org/officeDocument/2006/relationships" ref="F17" r:id="R6f44178869be4e7c"/>
    <x:hyperlink xmlns:r="http://schemas.openxmlformats.org/officeDocument/2006/relationships" ref="F25" r:id="R6db01ddd4068463e"/>
    <x:hyperlink xmlns:r="http://schemas.openxmlformats.org/officeDocument/2006/relationships" ref="F26" r:id="Ra016ba3e71754f94"/>
    <x:hyperlink xmlns:r="http://schemas.openxmlformats.org/officeDocument/2006/relationships" ref="B28" r:id="R18a8739dc3b84766"/>
    <x:hyperlink xmlns:r="http://schemas.openxmlformats.org/officeDocument/2006/relationships" ref="B32" r:id="R9b948a400fa44b60"/>
    <x:hyperlink xmlns:r="http://schemas.openxmlformats.org/officeDocument/2006/relationships" ref="B33" r:id="Rbeb11823cb5849c5"/>
    <x:hyperlink xmlns:r="http://schemas.openxmlformats.org/officeDocument/2006/relationships" ref="B34" r:id="R57f80bc8a61c4636"/>
    <x:hyperlink xmlns:r="http://schemas.openxmlformats.org/officeDocument/2006/relationships" ref="B35" r:id="Rf5202083d2e648a0"/>
    <x:hyperlink xmlns:r="http://schemas.openxmlformats.org/officeDocument/2006/relationships" ref="B36" r:id="R66a1d52b57104afb"/>
    <x:hyperlink xmlns:r="http://schemas.openxmlformats.org/officeDocument/2006/relationships" ref="B37" r:id="R5cdfeae573684deb"/>
    <x:hyperlink xmlns:r="http://schemas.openxmlformats.org/officeDocument/2006/relationships" ref="B39" r:id="R8cbe5224903d423c"/>
  </x:hyperlinks>
  <x:pageMargins left="0.7" right="0.7" top="0.75" bottom="0.75" header="0.3" footer="0.3"/>
  <x:legacyDrawing xmlns:r="http://schemas.openxmlformats.org/officeDocument/2006/relationships" r:id="R78cf26111bc74f6a"/>
  <x:tableParts count="1">
    <x:tablePart xmlns:r="http://schemas.openxmlformats.org/officeDocument/2006/relationships" r:id="R22ab0ef5f7a744ac"/>
  </x:tableParts>
</x:worksheet>
</file>

<file path=xl/worksheets/sheet2.xml><?xml version="1.0" encoding="utf-8"?>
<x:worksheet xmlns:x="http://schemas.openxmlformats.org/spreadsheetml/2006/main">
  <x:sheetFormatPr baseColWidth="10" defaultColWidth="11.44140625" defaultRowHeight="14.399999618530273"/>
  <x:cols>
    <x:col min="1" max="1" width="8.109375" style="11" customWidth="1"/>
    <x:col min="2" max="2" width="40.6640625" style="1" customWidth="1"/>
    <x:col min="3" max="3" width="31.33203125" style="1" customWidth="1"/>
    <x:col min="4" max="4" width="28" style="11" customWidth="1"/>
    <x:col min="5" max="5" width="38.6640625" style="1" customWidth="1"/>
    <x:col min="6" max="6" width="21.33203125" style="1" customWidth="1"/>
    <x:col min="7" max="8" width="42.44140625" style="11" customWidth="1"/>
    <x:col min="9" max="9" width="67.109375" style="11" customWidth="1"/>
    <x:col min="10" max="10" width="55.6640625" style="11" customWidth="1"/>
    <x:col min="11" max="11" width="59" style="11" customWidth="1"/>
    <x:col min="12" max="12" width="92.33203125" style="11" customWidth="1"/>
    <x:col min="13" max="13" width="109.88671875" style="11" customWidth="1"/>
    <x:col min="14" max="14" width="72" style="11" customWidth="1"/>
    <x:col min="15" max="15" width="43" style="11" customWidth="1"/>
    <x:col min="16" max="16" width="104.88671875" style="11" customWidth="1"/>
    <x:col min="17" max="17" width="45.33203125" style="11" customWidth="1"/>
    <x:col min="18" max="18" width="16.33203125" style="11" customWidth="1"/>
    <x:col min="19" max="19" width="21.109375" style="11" customWidth="1"/>
    <x:col min="20" max="20" width="25.88671875" style="11" customWidth="1"/>
    <x:col min="21" max="21" width="32" style="11" customWidth="1"/>
    <x:col min="22" max="22" width="26.33203125" style="11" customWidth="1"/>
    <x:col min="23" max="23" width="45.33203125" style="11" customWidth="1"/>
    <x:col min="24" max="24" width="49.44140625" style="11" customWidth="1"/>
    <x:col min="25" max="25" width="52" style="11" customWidth="1"/>
    <x:col min="26" max="26" width="24.88671875" style="11" customWidth="1"/>
    <x:col min="27" max="27" width="71" style="11" customWidth="1"/>
    <x:col min="28" max="28" width="40.44140625" style="1" customWidth="1"/>
    <x:col min="29" max="29" width="32.33203125" style="1" customWidth="1"/>
    <x:col min="30" max="30" width="45.5546875" style="1" customWidth="1"/>
    <x:col min="31" max="31" width="37.6640625" style="1" customWidth="1"/>
    <x:col min="32" max="32" width="33.33203125" style="1" customWidth="1"/>
    <x:col min="33" max="33" width="44.109375" style="1" customWidth="1"/>
    <x:col min="34" max="34" width="41" style="1" customWidth="1"/>
    <x:col min="35" max="35" width="44.88671875" style="1" customWidth="1"/>
    <x:col min="36" max="36" width="37.109375" style="1" customWidth="1"/>
    <x:col min="37" max="37" width="44.44140625" style="1" customWidth="1"/>
    <x:col min="38" max="38" width="20.6640625" style="1" customWidth="1"/>
    <x:col min="39" max="39" width="25" style="11" customWidth="1"/>
    <x:col min="40" max="40" width="30.88671875" style="11" customWidth="1"/>
    <x:col min="41" max="16384" width="11.44140625" style="1" customWidth="0"/>
  </x:cols>
  <x:sheetData>
    <x:row r="1" s="2" customFormat="1" ht="43.20000076293945">
      <x:c r="A1" s="133" t="s">
        <x:v>0</x:v>
      </x:c>
      <x:c r="B1" s="134" t="s">
        <x:v>465</x:v>
      </x:c>
      <x:c r="C1" s="134" t="s">
        <x:v>466</x:v>
      </x:c>
      <x:c r="D1" s="134" t="s">
        <x:v>467</x:v>
      </x:c>
      <x:c r="E1" s="134" t="s">
        <x:v>5</x:v>
      </x:c>
      <x:c r="F1" s="134" t="s">
        <x:v>6</x:v>
      </x:c>
      <x:c r="G1" s="134" t="s">
        <x:v>7</x:v>
      </x:c>
      <x:c r="H1" s="134" t="s">
        <x:v>468</x:v>
      </x:c>
      <x:c r="I1" s="134" t="s">
        <x:v>469</x:v>
      </x:c>
      <x:c r="J1" s="134" t="s">
        <x:v>470</x:v>
      </x:c>
      <x:c r="K1" s="134" t="s">
        <x:v>15</x:v>
      </x:c>
      <x:c r="L1" s="134" t="s">
        <x:v>17</x:v>
      </x:c>
      <x:c r="M1" s="134" t="s">
        <x:v>18</x:v>
      </x:c>
      <x:c r="N1" s="135" t="s">
        <x:v>19</x:v>
      </x:c>
      <x:c r="O1" s="134" t="s">
        <x:v>20</x:v>
      </x:c>
      <x:c r="P1" s="134" t="s">
        <x:v>21</x:v>
      </x:c>
      <x:c r="Q1" s="134" t="s">
        <x:v>22</x:v>
      </x:c>
      <x:c r="R1" s="127" t="s">
        <x:v>23</x:v>
      </x:c>
      <x:c r="S1" s="127" t="s">
        <x:v>24</x:v>
      </x:c>
      <x:c r="T1" s="127" t="s">
        <x:v>25</x:v>
      </x:c>
      <x:c r="U1" s="127" t="s">
        <x:v>26</x:v>
      </x:c>
      <x:c r="V1" s="127" t="s">
        <x:v>27</x:v>
      </x:c>
      <x:c r="W1" s="127" t="s">
        <x:v>28</x:v>
      </x:c>
      <x:c r="X1" s="127" t="s">
        <x:v>29</x:v>
      </x:c>
      <x:c r="Y1" s="127" t="s">
        <x:v>30</x:v>
      </x:c>
      <x:c r="Z1" s="127" t="s">
        <x:v>31</x:v>
      </x:c>
      <x:c r="AA1" s="127" t="s">
        <x:v>32</x:v>
      </x:c>
      <x:c r="AB1" s="130" t="s">
        <x:v>471</x:v>
      </x:c>
      <x:c r="AC1" s="136" t="s">
        <x:v>34</x:v>
      </x:c>
      <x:c r="AD1" s="136" t="s">
        <x:v>35</x:v>
      </x:c>
      <x:c r="AE1" s="136" t="s">
        <x:v>36</x:v>
      </x:c>
      <x:c r="AF1" s="136" t="s">
        <x:v>472</x:v>
      </x:c>
      <x:c r="AG1" s="131" t="s">
        <x:v>38</x:v>
      </x:c>
      <x:c r="AH1" s="90" t="s">
        <x:v>39</x:v>
      </x:c>
      <x:c r="AI1" s="90" t="s">
        <x:v>40</x:v>
      </x:c>
      <x:c r="AJ1" s="90" t="s">
        <x:v>41</x:v>
      </x:c>
      <x:c r="AK1" s="90" t="s">
        <x:v>42</x:v>
      </x:c>
      <x:c r="AL1" s="90" t="s">
        <x:v>43</x:v>
      </x:c>
      <x:c r="AM1" s="90" t="s">
        <x:v>44</x:v>
      </x:c>
      <x:c r="AN1" s="90" t="s">
        <x:v>473</x:v>
      </x:c>
      <x:c r="AO1" s="137" t="s">
        <x:v>46</x:v>
      </x:c>
    </x:row>
    <x:row r="2" ht="164.39999389648438" hidden="1" customHeight="1">
      <x:c r="A2" s="114">
        <x:v>1</x:v>
      </x:c>
      <x:c r="B2" s="6" t="s">
        <x:v>474</x:v>
      </x:c>
      <x:c r="C2" s="6"/>
      <x:c r="D2" s="6">
        <x:v>2020</x:v>
      </x:c>
      <x:c r="E2" s="6" t="s">
        <x:v>475</x:v>
      </x:c>
      <x:c r="F2" s="6" t="s">
        <x:v>50</x:v>
      </x:c>
      <x:c r="G2" s="6" t="s">
        <x:v>51</x:v>
      </x:c>
      <x:c r="H2" s="6"/>
      <x:c r="I2" s="6" t="s">
        <x:v>476</x:v>
      </x:c>
      <x:c r="J2" s="6" t="s">
        <x:v>66</x:v>
      </x:c>
      <x:c r="K2" s="6" t="s">
        <x:v>477</x:v>
      </x:c>
      <x:c r="L2" s="6" t="s">
        <x:v>478</x:v>
      </x:c>
      <x:c r="M2" s="6" t="s">
        <x:v>479</x:v>
      </x:c>
      <x:c r="N2" s="91" t="s">
        <x:v>480</x:v>
      </x:c>
      <x:c r="O2" s="6" t="s">
        <x:v>481</x:v>
      </x:c>
      <x:c r="P2" s="6" t="s">
        <x:v>482</x:v>
      </x:c>
      <x:c r="Q2" s="6" t="s">
        <x:v>483</x:v>
      </x:c>
      <x:c r="R2" s="6"/>
      <x:c r="S2" s="6" t="s">
        <x:v>60</x:v>
      </x:c>
      <x:c r="T2" s="6"/>
      <x:c r="U2" s="6"/>
      <x:c r="V2" s="6"/>
      <x:c r="W2" s="6"/>
      <x:c r="X2" s="6"/>
      <x:c r="Y2" s="6"/>
      <x:c r="Z2" s="6"/>
      <x:c r="AA2" s="6"/>
      <x:c r="AB2" s="65" t="s">
        <x:v>24</x:v>
      </x:c>
      <x:c r="AC2" s="36">
        <x:v>62.5</x:v>
      </x:c>
      <x:c r="AD2" s="37">
        <x:v>37.5</x:v>
      </x:c>
      <x:c r="AE2" s="36">
        <x:v>62.5</x:v>
      </x:c>
      <x:c r="AF2" s="33" t="n">
        <x:f t="shared" ref="AF2:AF36" si="0">SUM(AC2:AE2)/3</x:f>
        <x:v>54.166666666666664</x:v>
      </x:c>
      <x:c r="AG2" s="6" t="s">
        <x:v>50</x:v>
      </x:c>
      <x:c r="AH2" s="58"/>
      <x:c r="AI2" s="58"/>
      <x:c r="AJ2" s="58"/>
      <x:c r="AK2" s="58"/>
      <x:c r="AL2" s="58"/>
      <x:c r="AM2" s="58"/>
      <x:c r="AN2" s="58"/>
      <x:c r="AO2" s="105" t="s">
        <x:v>484</x:v>
      </x:c>
    </x:row>
    <x:row r="3" ht="189" hidden="1" customHeight="1">
      <x:c r="A3" s="114">
        <x:v>2</x:v>
      </x:c>
      <x:c r="B3" s="6" t="s">
        <x:v>485</x:v>
      </x:c>
      <x:c r="C3" s="6"/>
      <x:c r="D3" s="6">
        <x:v>2021</x:v>
      </x:c>
      <x:c r="E3" s="115" t="s">
        <x:v>486</x:v>
      </x:c>
      <x:c r="F3" s="6" t="s">
        <x:v>50</x:v>
      </x:c>
      <x:c r="G3" s="6"/>
      <x:c r="H3" s="6"/>
      <x:c r="I3" s="6" t="s">
        <x:v>487</x:v>
      </x:c>
      <x:c r="J3" s="6"/>
      <x:c r="K3" s="6" t="s">
        <x:v>488</x:v>
      </x:c>
      <x:c r="L3" s="6" t="s">
        <x:v>101</x:v>
      </x:c>
      <x:c r="M3" s="6" t="s">
        <x:v>489</x:v>
      </x:c>
      <x:c r="N3" s="91" t="s">
        <x:v>490</x:v>
      </x:c>
      <x:c r="O3" s="6"/>
      <x:c r="P3" s="6" t="s">
        <x:v>491</x:v>
      </x:c>
      <x:c r="Q3" s="6"/>
      <x:c r="R3" s="6"/>
      <x:c r="S3" s="6" t="s">
        <x:v>60</x:v>
      </x:c>
      <x:c r="T3" s="6"/>
      <x:c r="U3" s="6"/>
      <x:c r="V3" s="6"/>
      <x:c r="W3" s="6"/>
      <x:c r="X3" s="6"/>
      <x:c r="Y3" s="6"/>
      <x:c r="Z3" s="6"/>
      <x:c r="AA3" s="6"/>
      <x:c r="AB3" s="65" t="s">
        <x:v>24</x:v>
      </x:c>
      <x:c r="AC3" s="35">
        <x:v>75</x:v>
      </x:c>
      <x:c r="AD3" s="36">
        <x:v>58.3</x:v>
      </x:c>
      <x:c r="AE3" s="36">
        <x:v>62.5</x:v>
      </x:c>
      <x:c r="AF3" s="33">
        <x:f t="shared" si="0"/>
        <x:v>65.266666666666666</x:v>
      </x:c>
      <x:c r="AG3" s="6" t="s">
        <x:v>50</x:v>
      </x:c>
      <x:c r="AH3" s="58"/>
      <x:c r="AI3" s="58"/>
      <x:c r="AJ3" s="58"/>
      <x:c r="AK3" s="58"/>
      <x:c r="AL3" s="58"/>
      <x:c r="AM3" s="58"/>
      <x:c r="AN3" s="58" t="s">
        <x:v>492</x:v>
      </x:c>
      <x:c r="AO3" s="105"/>
    </x:row>
    <x:row r="4" ht="173.39999389648438" hidden="1" customHeight="1">
      <x:c r="A4" s="114">
        <x:v>3</x:v>
      </x:c>
      <x:c r="B4" s="6" t="s">
        <x:v>493</x:v>
      </x:c>
      <x:c r="C4" s="6"/>
      <x:c r="D4" s="6">
        <x:v>2019</x:v>
      </x:c>
      <x:c r="E4" s="109" t="s">
        <x:v>494</x:v>
      </x:c>
      <x:c r="F4" s="6" t="s">
        <x:v>495</x:v>
      </x:c>
      <x:c r="G4" s="6"/>
      <x:c r="H4" s="6"/>
      <x:c r="I4" s="6" t="s">
        <x:v>496</x:v>
      </x:c>
      <x:c r="J4" s="6" t="s">
        <x:v>397</x:v>
      </x:c>
      <x:c r="K4" s="6" t="s">
        <x:v>497</x:v>
      </x:c>
      <x:c r="L4" s="6" t="s">
        <x:v>498</x:v>
      </x:c>
      <x:c r="M4" s="6" t="s">
        <x:v>499</x:v>
      </x:c>
      <x:c r="N4" s="91" t="s">
        <x:v>500</x:v>
      </x:c>
      <x:c r="O4" s="6" t="s">
        <x:v>501</x:v>
      </x:c>
      <x:c r="P4" s="6" t="s">
        <x:v>502</x:v>
      </x:c>
      <x:c r="Q4" s="6"/>
      <x:c r="R4" s="6"/>
      <x:c r="S4" s="6" t="s">
        <x:v>60</x:v>
      </x:c>
      <x:c r="T4" s="6"/>
      <x:c r="U4" s="6"/>
      <x:c r="V4" s="6"/>
      <x:c r="W4" s="6"/>
      <x:c r="X4" s="6"/>
      <x:c r="Y4" s="6"/>
      <x:c r="Z4" s="6"/>
      <x:c r="AA4" s="6"/>
      <x:c r="AB4" s="65" t="s">
        <x:v>24</x:v>
      </x:c>
      <x:c r="AC4" s="36">
        <x:v>62.5</x:v>
      </x:c>
      <x:c r="AD4" s="36">
        <x:v>62.5</x:v>
      </x:c>
      <x:c r="AE4" s="36">
        <x:v>66.7</x:v>
      </x:c>
      <x:c r="AF4" s="33">
        <x:f t="shared" si="0"/>
        <x:v>63.9</x:v>
      </x:c>
      <x:c r="AG4" s="6"/>
      <x:c r="AH4" s="58"/>
      <x:c r="AI4" s="58"/>
      <x:c r="AJ4" s="58"/>
      <x:c r="AK4" s="58"/>
      <x:c r="AL4" s="58"/>
      <x:c r="AM4" s="58"/>
      <x:c r="AN4" s="58" t="s">
        <x:v>503</x:v>
      </x:c>
      <x:c r="AO4" s="105" t="s">
        <x:v>504</x:v>
      </x:c>
    </x:row>
    <x:row r="5" ht="161.39999389648438" hidden="1" customHeight="1">
      <x:c r="A5" s="114">
        <x:v>4</x:v>
      </x:c>
      <x:c r="B5" s="6" t="s">
        <x:v>505</x:v>
      </x:c>
      <x:c r="C5" s="6"/>
      <x:c r="D5" s="6">
        <x:v>2015</x:v>
      </x:c>
      <x:c r="E5" s="115" t="s">
        <x:v>506</x:v>
      </x:c>
      <x:c r="F5" s="6" t="s">
        <x:v>50</x:v>
      </x:c>
      <x:c r="G5" s="6" t="s">
        <x:v>507</x:v>
      </x:c>
      <x:c r="H5" s="6"/>
      <x:c r="I5" s="6" t="s">
        <x:v>476</x:v>
      </x:c>
      <x:c r="J5" s="6" t="s">
        <x:v>66</x:v>
      </x:c>
      <x:c r="K5" s="6" t="s">
        <x:v>508</x:v>
      </x:c>
      <x:c r="L5" s="6" t="s">
        <x:v>509</x:v>
      </x:c>
      <x:c r="M5" s="6" t="s">
        <x:v>510</x:v>
      </x:c>
      <x:c r="N5" s="91" t="s">
        <x:v>511</x:v>
      </x:c>
      <x:c r="O5" s="6" t="s">
        <x:v>512</x:v>
      </x:c>
      <x:c r="P5" s="6" t="s">
        <x:v>513</x:v>
      </x:c>
      <x:c r="Q5" s="6"/>
      <x:c r="R5" s="6"/>
      <x:c r="S5" s="6" t="s">
        <x:v>60</x:v>
      </x:c>
      <x:c r="T5" s="6"/>
      <x:c r="U5" s="6"/>
      <x:c r="V5" s="6"/>
      <x:c r="W5" s="6"/>
      <x:c r="X5" s="6"/>
      <x:c r="Y5" s="6"/>
      <x:c r="Z5" s="6"/>
      <x:c r="AA5" s="6"/>
      <x:c r="AB5" s="65" t="s">
        <x:v>24</x:v>
      </x:c>
      <x:c r="AC5" s="35">
        <x:v>75</x:v>
      </x:c>
      <x:c r="AD5" s="37">
        <x:v>37.5</x:v>
      </x:c>
      <x:c r="AE5" s="36">
        <x:v>56.3</x:v>
      </x:c>
      <x:c r="AF5" s="33">
        <x:f t="shared" si="0"/>
        <x:v>56.266666666666673</x:v>
      </x:c>
      <x:c r="AG5" s="6" t="s">
        <x:v>50</x:v>
      </x:c>
      <x:c r="AH5" s="58"/>
      <x:c r="AI5" s="58"/>
      <x:c r="AJ5" s="58"/>
      <x:c r="AK5" s="58"/>
      <x:c r="AL5" s="58"/>
      <x:c r="AM5" s="58"/>
      <x:c r="AN5" s="58" t="s">
        <x:v>514</x:v>
      </x:c>
      <x:c r="AO5" s="105"/>
    </x:row>
    <x:row r="6" ht="268.95001220703125" hidden="1" customHeight="1">
      <x:c r="A6" s="110">
        <x:v>5</x:v>
      </x:c>
      <x:c r="B6" s="6" t="s">
        <x:v>515</x:v>
      </x:c>
      <x:c r="C6" s="6"/>
      <x:c r="D6" s="6">
        <x:v>2018</x:v>
      </x:c>
      <x:c r="E6" s="115" t="s">
        <x:v>516</x:v>
      </x:c>
      <x:c r="F6" s="6" t="s">
        <x:v>50</x:v>
      </x:c>
      <x:c r="G6" s="6"/>
      <x:c r="H6" s="6"/>
      <x:c r="I6" s="6" t="s">
        <x:v>487</x:v>
      </x:c>
      <x:c r="J6" s="6"/>
      <x:c r="K6" s="6" t="s">
        <x:v>517</x:v>
      </x:c>
      <x:c r="L6" s="6" t="s">
        <x:v>101</x:v>
      </x:c>
      <x:c r="M6" s="6" t="s">
        <x:v>518</x:v>
      </x:c>
      <x:c r="N6" s="91" t="s">
        <x:v>519</x:v>
      </x:c>
      <x:c r="O6" s="6" t="s">
        <x:v>520</x:v>
      </x:c>
      <x:c r="P6" s="6" t="s">
        <x:v>521</x:v>
      </x:c>
      <x:c r="Q6" s="6" t="s">
        <x:v>522</x:v>
      </x:c>
      <x:c r="R6" s="6"/>
      <x:c r="S6" s="6"/>
      <x:c r="T6" s="6"/>
      <x:c r="U6" s="6"/>
      <x:c r="V6" s="6"/>
      <x:c r="W6" s="6" t="s">
        <x:v>60</x:v>
      </x:c>
      <x:c r="X6" s="6"/>
      <x:c r="Y6" s="6"/>
      <x:c r="Z6" s="6"/>
      <x:c r="AA6" s="6"/>
      <x:c r="AB6" s="63" t="s">
        <x:v>523</x:v>
      </x:c>
      <x:c r="AC6" s="35">
        <x:v>75</x:v>
      </x:c>
      <x:c r="AD6" s="35">
        <x:v>75</x:v>
      </x:c>
      <x:c r="AE6" s="35">
        <x:v>75</x:v>
      </x:c>
      <x:c r="AF6" s="32">
        <x:f t="shared" si="0"/>
        <x:v>75</x:v>
      </x:c>
      <x:c r="AG6" s="6" t="s">
        <x:v>50</x:v>
      </x:c>
      <x:c r="AH6" s="58"/>
      <x:c r="AI6" s="58"/>
      <x:c r="AJ6" s="58"/>
      <x:c r="AK6" s="58"/>
      <x:c r="AL6" s="58"/>
      <x:c r="AM6" s="58"/>
      <x:c r="AN6" s="58" t="s">
        <x:v>524</x:v>
      </x:c>
      <x:c r="AO6" s="105"/>
    </x:row>
    <x:row r="7" ht="135.60000610351562" hidden="1" customHeight="1">
      <x:c r="A7" s="110">
        <x:v>6</x:v>
      </x:c>
      <x:c r="B7" s="6" t="s">
        <x:v>525</x:v>
      </x:c>
      <x:c r="C7" s="6"/>
      <x:c r="D7" s="6">
        <x:v>2018</x:v>
      </x:c>
      <x:c r="E7" s="115" t="s">
        <x:v>526</x:v>
      </x:c>
      <x:c r="F7" s="6" t="s">
        <x:v>50</x:v>
      </x:c>
      <x:c r="G7" s="6"/>
      <x:c r="H7" s="6"/>
      <x:c r="I7" s="6" t="s">
        <x:v>487</x:v>
      </x:c>
      <x:c r="J7" s="6"/>
      <x:c r="K7" s="6" t="s">
        <x:v>527</x:v>
      </x:c>
      <x:c r="L7" s="6" t="s">
        <x:v>101</x:v>
      </x:c>
      <x:c r="M7" s="6" t="s">
        <x:v>528</x:v>
      </x:c>
      <x:c r="N7" s="91" t="s">
        <x:v>529</x:v>
      </x:c>
      <x:c r="O7" s="6" t="s">
        <x:v>530</x:v>
      </x:c>
      <x:c r="P7" s="6" t="s">
        <x:v>531</x:v>
      </x:c>
      <x:c r="Q7" s="6"/>
      <x:c r="R7" s="6"/>
      <x:c r="S7" s="6"/>
      <x:c r="T7" s="6"/>
      <x:c r="U7" s="6"/>
      <x:c r="V7" s="6"/>
      <x:c r="W7" s="6" t="s">
        <x:v>60</x:v>
      </x:c>
      <x:c r="X7" s="6"/>
      <x:c r="Y7" s="6"/>
      <x:c r="Z7" s="6"/>
      <x:c r="AA7" s="6"/>
      <x:c r="AB7" s="63" t="s">
        <x:v>523</x:v>
      </x:c>
      <x:c r="AC7" s="35">
        <x:v>75</x:v>
      </x:c>
      <x:c r="AD7" s="35">
        <x:v>75</x:v>
      </x:c>
      <x:c r="AE7" s="35">
        <x:v>75</x:v>
      </x:c>
      <x:c r="AF7" s="32">
        <x:f t="shared" si="0"/>
        <x:v>75</x:v>
      </x:c>
      <x:c r="AG7" s="6" t="s">
        <x:v>50</x:v>
      </x:c>
      <x:c r="AH7" s="58"/>
      <x:c r="AI7" s="58"/>
      <x:c r="AJ7" s="58"/>
      <x:c r="AK7" s="58"/>
      <x:c r="AL7" s="58"/>
      <x:c r="AM7" s="58"/>
      <x:c r="AN7" s="58" t="s">
        <x:v>524</x:v>
      </x:c>
      <x:c r="AO7" s="105"/>
    </x:row>
    <x:row r="8" ht="219" hidden="1" customHeight="1">
      <x:c r="A8" s="110">
        <x:v>7</x:v>
      </x:c>
      <x:c r="B8" s="6" t="s">
        <x:v>532</x:v>
      </x:c>
      <x:c r="C8" s="6"/>
      <x:c r="D8" s="6">
        <x:v>2019</x:v>
      </x:c>
      <x:c r="E8" s="115" t="s">
        <x:v>533</x:v>
      </x:c>
      <x:c r="F8" s="6" t="s">
        <x:v>50</x:v>
      </x:c>
      <x:c r="G8" s="6"/>
      <x:c r="H8" s="6"/>
      <x:c r="I8" s="6" t="s">
        <x:v>476</x:v>
      </x:c>
      <x:c r="J8" s="6"/>
      <x:c r="K8" s="6" t="s">
        <x:v>534</x:v>
      </x:c>
      <x:c r="L8" s="6" t="s">
        <x:v>68</x:v>
      </x:c>
      <x:c r="M8" s="6" t="s">
        <x:v>535</x:v>
      </x:c>
      <x:c r="N8" s="91" t="s">
        <x:v>536</x:v>
      </x:c>
      <x:c r="O8" s="6" t="s">
        <x:v>537</x:v>
      </x:c>
      <x:c r="P8" s="6" t="s">
        <x:v>106</x:v>
      </x:c>
      <x:c r="Q8" s="6" t="s">
        <x:v>538</x:v>
      </x:c>
      <x:c r="R8" s="6"/>
      <x:c r="S8" s="6"/>
      <x:c r="T8" s="6"/>
      <x:c r="U8" s="6"/>
      <x:c r="V8" s="6"/>
      <x:c r="W8" s="6" t="s">
        <x:v>60</x:v>
      </x:c>
      <x:c r="X8" s="6"/>
      <x:c r="Y8" s="6"/>
      <x:c r="Z8" s="6"/>
      <x:c r="AA8" s="6"/>
      <x:c r="AB8" s="63" t="s">
        <x:v>523</x:v>
      </x:c>
      <x:c r="AC8" s="35">
        <x:v>87.5</x:v>
      </x:c>
      <x:c r="AD8" s="35">
        <x:v>87.5</x:v>
      </x:c>
      <x:c r="AE8" s="36">
        <x:v>62.5</x:v>
      </x:c>
      <x:c r="AF8" s="32">
        <x:f t="shared" si="0"/>
        <x:v>79.166666666666671</x:v>
      </x:c>
      <x:c r="AG8" s="6" t="s">
        <x:v>50</x:v>
      </x:c>
      <x:c r="AH8" s="58"/>
      <x:c r="AI8" s="58"/>
      <x:c r="AJ8" s="58"/>
      <x:c r="AK8" s="58"/>
      <x:c r="AL8" s="58"/>
      <x:c r="AM8" s="58"/>
      <x:c r="AN8" s="58" t="s">
        <x:v>524</x:v>
      </x:c>
      <x:c r="AO8" s="105"/>
    </x:row>
    <x:row r="9" ht="147.60000610351562" hidden="1" customHeight="1">
      <x:c r="A9" s="110">
        <x:v>8</x:v>
      </x:c>
      <x:c r="B9" s="6" t="s">
        <x:v>539</x:v>
      </x:c>
      <x:c r="C9" s="6"/>
      <x:c r="D9" s="6">
        <x:v>2019</x:v>
      </x:c>
      <x:c r="E9" s="115" t="s">
        <x:v>540</x:v>
      </x:c>
      <x:c r="F9" s="6" t="s">
        <x:v>50</x:v>
      </x:c>
      <x:c r="G9" s="6"/>
      <x:c r="H9" s="6"/>
      <x:c r="I9" s="6" t="s">
        <x:v>476</x:v>
      </x:c>
      <x:c r="J9" s="6"/>
      <x:c r="K9" s="6" t="s">
        <x:v>541</x:v>
      </x:c>
      <x:c r="L9" s="6" t="s">
        <x:v>68</x:v>
      </x:c>
      <x:c r="M9" s="6" t="s">
        <x:v>542</x:v>
      </x:c>
      <x:c r="N9" s="91" t="s">
        <x:v>543</x:v>
      </x:c>
      <x:c r="O9" s="6" t="s">
        <x:v>544</x:v>
      </x:c>
      <x:c r="P9" s="6" t="s">
        <x:v>545</x:v>
      </x:c>
      <x:c r="Q9" s="6" t="s">
        <x:v>546</x:v>
      </x:c>
      <x:c r="R9" s="6"/>
      <x:c r="S9" s="6"/>
      <x:c r="T9" s="6"/>
      <x:c r="U9" s="6"/>
      <x:c r="V9" s="6"/>
      <x:c r="W9" s="6" t="s">
        <x:v>60</x:v>
      </x:c>
      <x:c r="X9" s="6"/>
      <x:c r="Y9" s="6"/>
      <x:c r="Z9" s="6"/>
      <x:c r="AA9" s="6"/>
      <x:c r="AB9" s="63" t="s">
        <x:v>523</x:v>
      </x:c>
      <x:c r="AC9" s="35">
        <x:v>75</x:v>
      </x:c>
      <x:c r="AD9" s="35">
        <x:v>75</x:v>
      </x:c>
      <x:c r="AE9" s="35">
        <x:v>87.5</x:v>
      </x:c>
      <x:c r="AF9" s="32">
        <x:f t="shared" si="0"/>
        <x:v>79.166666666666671</x:v>
      </x:c>
      <x:c r="AG9" s="6" t="s">
        <x:v>50</x:v>
      </x:c>
      <x:c r="AH9" s="58"/>
      <x:c r="AI9" s="58"/>
      <x:c r="AJ9" s="58"/>
      <x:c r="AK9" s="58"/>
      <x:c r="AL9" s="58"/>
      <x:c r="AM9" s="58"/>
      <x:c r="AN9" s="58" t="s">
        <x:v>524</x:v>
      </x:c>
      <x:c r="AO9" s="105"/>
    </x:row>
    <x:row r="10" ht="149.39999389648438" hidden="1" customHeight="1">
      <x:c r="A10" s="110">
        <x:v>9</x:v>
      </x:c>
      <x:c r="B10" s="6" t="s">
        <x:v>547</x:v>
      </x:c>
      <x:c r="C10" s="6"/>
      <x:c r="D10" s="6">
        <x:v>2020</x:v>
      </x:c>
      <x:c r="E10" s="115" t="s">
        <x:v>548</x:v>
      </x:c>
      <x:c r="F10" s="6" t="s">
        <x:v>50</x:v>
      </x:c>
      <x:c r="G10" s="6"/>
      <x:c r="H10" s="6"/>
      <x:c r="I10" s="6" t="s">
        <x:v>487</x:v>
      </x:c>
      <x:c r="J10" s="6"/>
      <x:c r="K10" s="6" t="s">
        <x:v>549</x:v>
      </x:c>
      <x:c r="L10" s="6" t="s">
        <x:v>550</x:v>
      </x:c>
      <x:c r="M10" s="6" t="s">
        <x:v>551</x:v>
      </x:c>
      <x:c r="N10" s="91" t="s">
        <x:v>552</x:v>
      </x:c>
      <x:c r="O10" s="6" t="s">
        <x:v>553</x:v>
      </x:c>
      <x:c r="P10" s="6" t="s">
        <x:v>106</x:v>
      </x:c>
      <x:c r="Q10" s="6"/>
      <x:c r="R10" s="6"/>
      <x:c r="S10" s="6"/>
      <x:c r="T10" s="6"/>
      <x:c r="U10" s="6"/>
      <x:c r="V10" s="6"/>
      <x:c r="W10" s="6" t="s">
        <x:v>60</x:v>
      </x:c>
      <x:c r="X10" s="6"/>
      <x:c r="Y10" s="6"/>
      <x:c r="Z10" s="6"/>
      <x:c r="AA10" s="6"/>
      <x:c r="AB10" s="63" t="s">
        <x:v>523</x:v>
      </x:c>
      <x:c r="AC10" s="35">
        <x:v>87.5</x:v>
      </x:c>
      <x:c r="AD10" s="35">
        <x:v>87.5</x:v>
      </x:c>
      <x:c r="AE10" s="35">
        <x:v>87.5</x:v>
      </x:c>
      <x:c r="AF10" s="32">
        <x:f t="shared" si="0"/>
        <x:v>87.5</x:v>
      </x:c>
      <x:c r="AG10" s="6" t="s">
        <x:v>50</x:v>
      </x:c>
      <x:c r="AH10" s="58"/>
      <x:c r="AI10" s="58"/>
      <x:c r="AJ10" s="58"/>
      <x:c r="AK10" s="58"/>
      <x:c r="AL10" s="58"/>
      <x:c r="AM10" s="58"/>
      <x:c r="AN10" s="58" t="s">
        <x:v>524</x:v>
      </x:c>
      <x:c r="AO10" s="105"/>
    </x:row>
    <x:row r="11" ht="200.39999389648438" hidden="1" customHeight="1">
      <x:c r="A11" s="110">
        <x:v>10</x:v>
      </x:c>
      <x:c r="B11" s="6" t="s">
        <x:v>554</x:v>
      </x:c>
      <x:c r="C11" s="6"/>
      <x:c r="D11" s="6">
        <x:v>2020</x:v>
      </x:c>
      <x:c r="E11" s="115" t="s">
        <x:v>555</x:v>
      </x:c>
      <x:c r="F11" s="6" t="s">
        <x:v>50</x:v>
      </x:c>
      <x:c r="G11" s="6"/>
      <x:c r="H11" s="6"/>
      <x:c r="I11" s="6" t="s">
        <x:v>487</x:v>
      </x:c>
      <x:c r="J11" s="6"/>
      <x:c r="K11" s="6" t="s">
        <x:v>556</x:v>
      </x:c>
      <x:c r="L11" s="6" t="s">
        <x:v>557</x:v>
      </x:c>
      <x:c r="M11" s="6" t="s">
        <x:v>558</x:v>
      </x:c>
      <x:c r="N11" s="91" t="s">
        <x:v>559</x:v>
      </x:c>
      <x:c r="O11" s="6" t="s">
        <x:v>560</x:v>
      </x:c>
      <x:c r="P11" s="6" t="s">
        <x:v>106</x:v>
      </x:c>
      <x:c r="Q11" s="6" t="s">
        <x:v>561</x:v>
      </x:c>
      <x:c r="R11" s="6"/>
      <x:c r="S11" s="6"/>
      <x:c r="T11" s="6"/>
      <x:c r="U11" s="6"/>
      <x:c r="V11" s="6"/>
      <x:c r="W11" s="6" t="s">
        <x:v>60</x:v>
      </x:c>
      <x:c r="X11" s="6"/>
      <x:c r="Y11" s="6"/>
      <x:c r="Z11" s="6"/>
      <x:c r="AA11" s="6"/>
      <x:c r="AB11" s="63" t="s">
        <x:v>523</x:v>
      </x:c>
      <x:c r="AC11" s="35">
        <x:v>87.5</x:v>
      </x:c>
      <x:c r="AD11" s="35">
        <x:v>87.5</x:v>
      </x:c>
      <x:c r="AE11" s="35">
        <x:v>100</x:v>
      </x:c>
      <x:c r="AF11" s="32">
        <x:f t="shared" si="0"/>
        <x:v>91.666666666666671</x:v>
      </x:c>
      <x:c r="AG11" s="6" t="s">
        <x:v>50</x:v>
      </x:c>
      <x:c r="AH11" s="58"/>
      <x:c r="AI11" s="58"/>
      <x:c r="AJ11" s="58"/>
      <x:c r="AK11" s="58"/>
      <x:c r="AL11" s="58"/>
      <x:c r="AM11" s="58"/>
      <x:c r="AN11" s="58" t="s">
        <x:v>524</x:v>
      </x:c>
      <x:c r="AO11" s="105"/>
    </x:row>
    <x:row r="12" ht="250.9499969482422" hidden="1" customHeight="1">
      <x:c r="A12" s="108">
        <x:v>11</x:v>
      </x:c>
      <x:c r="B12" s="6" t="s">
        <x:v>562</x:v>
      </x:c>
      <x:c r="C12" s="6"/>
      <x:c r="D12" s="6">
        <x:v>2020</x:v>
      </x:c>
      <x:c r="E12" s="115" t="s">
        <x:v>563</x:v>
      </x:c>
      <x:c r="F12" s="6" t="s">
        <x:v>50</x:v>
      </x:c>
      <x:c r="G12" s="6"/>
      <x:c r="H12" s="6"/>
      <x:c r="I12" s="6"/>
      <x:c r="J12" s="6"/>
      <x:c r="K12" s="6" t="s">
        <x:v>564</x:v>
      </x:c>
      <x:c r="L12" s="6" t="s">
        <x:v>565</x:v>
      </x:c>
      <x:c r="M12" s="6" t="s">
        <x:v>566</x:v>
      </x:c>
      <x:c r="N12" s="91" t="s">
        <x:v>567</x:v>
      </x:c>
      <x:c r="O12" s="6" t="s">
        <x:v>568</x:v>
      </x:c>
      <x:c r="P12" s="6" t="s">
        <x:v>569</x:v>
      </x:c>
      <x:c r="Q12" s="6"/>
      <x:c r="R12" s="6"/>
      <x:c r="S12" s="6"/>
      <x:c r="T12" s="6"/>
      <x:c r="U12" s="6"/>
      <x:c r="V12" s="6"/>
      <x:c r="W12" s="6"/>
      <x:c r="X12" s="6"/>
      <x:c r="Y12" s="6" t="s">
        <x:v>60</x:v>
      </x:c>
      <x:c r="Z12" s="6"/>
      <x:c r="AA12" s="6"/>
      <x:c r="AB12" s="38" t="s">
        <x:v>30</x:v>
      </x:c>
      <x:c r="AC12" s="36">
        <x:v>62.5</x:v>
      </x:c>
      <x:c r="AD12" s="37">
        <x:v>37.5</x:v>
      </x:c>
      <x:c r="AE12" s="37">
        <x:v>43.8</x:v>
      </x:c>
      <x:c r="AF12" s="34">
        <x:f t="shared" si="0"/>
        <x:v>47.933333333333337</x:v>
      </x:c>
      <x:c r="AG12" s="6" t="s">
        <x:v>50</x:v>
      </x:c>
      <x:c r="AH12" s="58"/>
      <x:c r="AI12" s="58"/>
      <x:c r="AJ12" s="58"/>
      <x:c r="AK12" s="58"/>
      <x:c r="AL12" s="58"/>
      <x:c r="AM12" s="58"/>
      <x:c r="AN12" s="58" t="s">
        <x:v>570</x:v>
      </x:c>
      <x:c r="AO12" s="105" t="s">
        <x:v>571</x:v>
      </x:c>
    </x:row>
    <x:row r="13" ht="156" hidden="1" customHeight="1">
      <x:c r="A13" s="113">
        <x:v>12</x:v>
      </x:c>
      <x:c r="B13" s="6" t="s">
        <x:v>572</x:v>
      </x:c>
      <x:c r="C13" s="6"/>
      <x:c r="D13" s="6">
        <x:v>2019</x:v>
      </x:c>
      <x:c r="E13" s="109" t="s">
        <x:v>573</x:v>
      </x:c>
      <x:c r="F13" s="6" t="s">
        <x:v>177</x:v>
      </x:c>
      <x:c r="G13" s="6"/>
      <x:c r="H13" s="6"/>
      <x:c r="I13" s="6" t="s">
        <x:v>487</x:v>
      </x:c>
      <x:c r="J13" s="6" t="s">
        <x:v>114</x:v>
      </x:c>
      <x:c r="K13" s="6" t="s">
        <x:v>574</x:v>
      </x:c>
      <x:c r="L13" s="6" t="s">
        <x:v>575</x:v>
      </x:c>
      <x:c r="M13" s="6" t="s">
        <x:v>576</x:v>
      </x:c>
      <x:c r="N13" s="91" t="s">
        <x:v>577</x:v>
      </x:c>
      <x:c r="O13" s="6" t="s">
        <x:v>578</x:v>
      </x:c>
      <x:c r="P13" s="6" t="s">
        <x:v>579</x:v>
      </x:c>
      <x:c r="Q13" s="6"/>
      <x:c r="R13" s="6"/>
      <x:c r="S13" s="6"/>
      <x:c r="T13" s="6" t="s">
        <x:v>60</x:v>
      </x:c>
      <x:c r="U13" s="6"/>
      <x:c r="V13" s="6"/>
      <x:c r="W13" s="6"/>
      <x:c r="X13" s="6"/>
      <x:c r="Y13" s="6"/>
      <x:c r="Z13" s="6"/>
      <x:c r="AA13" s="6"/>
      <x:c r="AB13" s="66" t="s">
        <x:v>25</x:v>
      </x:c>
      <x:c r="AC13" s="36">
        <x:v>50</x:v>
      </x:c>
      <x:c r="AD13" s="37">
        <x:v>37.5</x:v>
      </x:c>
      <x:c r="AE13" s="37">
        <x:v>25</x:v>
      </x:c>
      <x:c r="AF13" s="34">
        <x:f t="shared" si="0"/>
        <x:v>37.5</x:v>
      </x:c>
      <x:c r="AG13" s="6" t="s">
        <x:v>177</x:v>
      </x:c>
      <x:c r="AH13" s="58"/>
      <x:c r="AI13" s="58"/>
      <x:c r="AJ13" s="58"/>
      <x:c r="AK13" s="58"/>
      <x:c r="AL13" s="58"/>
      <x:c r="AM13" s="58"/>
      <x:c r="AN13" s="58" t="s">
        <x:v>580</x:v>
      </x:c>
      <x:c r="AO13" s="105"/>
    </x:row>
    <x:row r="14" ht="226.1999969482422" hidden="1" customHeight="1">
      <x:c r="A14" s="113">
        <x:v>13</x:v>
      </x:c>
      <x:c r="B14" s="6" t="s">
        <x:v>581</x:v>
      </x:c>
      <x:c r="C14" s="6"/>
      <x:c r="D14" s="6">
        <x:v>2018</x:v>
      </x:c>
      <x:c r="E14" s="109" t="s">
        <x:v>582</x:v>
      </x:c>
      <x:c r="F14" s="6" t="s">
        <x:v>177</x:v>
      </x:c>
      <x:c r="G14" s="6" t="s">
        <x:v>583</x:v>
      </x:c>
      <x:c r="H14" s="6"/>
      <x:c r="I14" s="6" t="s">
        <x:v>476</x:v>
      </x:c>
      <x:c r="J14" s="6" t="s">
        <x:v>66</x:v>
      </x:c>
      <x:c r="K14" s="6" t="s">
        <x:v>584</x:v>
      </x:c>
      <x:c r="L14" s="6" t="s">
        <x:v>585</x:v>
      </x:c>
      <x:c r="M14" s="6" t="s">
        <x:v>586</x:v>
      </x:c>
      <x:c r="N14" s="91" t="s">
        <x:v>587</x:v>
      </x:c>
      <x:c r="O14" s="6" t="s">
        <x:v>588</x:v>
      </x:c>
      <x:c r="P14" s="6" t="s">
        <x:v>579</x:v>
      </x:c>
      <x:c r="Q14" s="6"/>
      <x:c r="R14" s="6"/>
      <x:c r="S14" s="6"/>
      <x:c r="T14" s="6" t="s">
        <x:v>60</x:v>
      </x:c>
      <x:c r="U14" s="6"/>
      <x:c r="V14" s="6"/>
      <x:c r="W14" s="6"/>
      <x:c r="X14" s="6"/>
      <x:c r="Y14" s="6"/>
      <x:c r="Z14" s="6"/>
      <x:c r="AA14" s="6"/>
      <x:c r="AB14" s="66" t="s">
        <x:v>25</x:v>
      </x:c>
      <x:c r="AC14" s="35">
        <x:v>75</x:v>
      </x:c>
      <x:c r="AD14" s="36">
        <x:v>50</x:v>
      </x:c>
      <x:c r="AE14" s="36">
        <x:v>66.7</x:v>
      </x:c>
      <x:c r="AF14" s="33">
        <x:f t="shared" si="0"/>
        <x:v>63.9</x:v>
      </x:c>
      <x:c r="AG14" s="6" t="s">
        <x:v>177</x:v>
      </x:c>
      <x:c r="AH14" s="58"/>
      <x:c r="AI14" s="58"/>
      <x:c r="AJ14" s="58"/>
      <x:c r="AK14" s="58"/>
      <x:c r="AL14" s="58"/>
      <x:c r="AM14" s="58"/>
      <x:c r="AN14" s="58" t="s">
        <x:v>580</x:v>
      </x:c>
      <x:c r="AO14" s="105"/>
    </x:row>
    <x:row r="15" ht="229.9499969482422" hidden="1" customHeight="1">
      <x:c r="A15" s="113">
        <x:v>14</x:v>
      </x:c>
      <x:c r="B15" s="6" t="s">
        <x:v>589</x:v>
      </x:c>
      <x:c r="C15" s="6"/>
      <x:c r="D15" s="6">
        <x:v>2018</x:v>
      </x:c>
      <x:c r="E15" s="109" t="s">
        <x:v>590</x:v>
      </x:c>
      <x:c r="F15" s="6" t="s">
        <x:v>177</x:v>
      </x:c>
      <x:c r="G15" s="6" t="s">
        <x:v>583</x:v>
      </x:c>
      <x:c r="H15" s="6"/>
      <x:c r="I15" s="6" t="s">
        <x:v>476</x:v>
      </x:c>
      <x:c r="J15" s="6" t="s">
        <x:v>66</x:v>
      </x:c>
      <x:c r="K15" s="6" t="s">
        <x:v>591</x:v>
      </x:c>
      <x:c r="L15" s="6" t="s">
        <x:v>592</x:v>
      </x:c>
      <x:c r="M15" s="6" t="s">
        <x:v>593</x:v>
      </x:c>
      <x:c r="N15" s="91" t="s">
        <x:v>594</x:v>
      </x:c>
      <x:c r="O15" s="6" t="s">
        <x:v>595</x:v>
      </x:c>
      <x:c r="P15" s="6" t="s">
        <x:v>579</x:v>
      </x:c>
      <x:c r="Q15" s="6"/>
      <x:c r="R15" s="6"/>
      <x:c r="S15" s="6"/>
      <x:c r="T15" s="6" t="s">
        <x:v>60</x:v>
      </x:c>
      <x:c r="U15" s="6"/>
      <x:c r="V15" s="6"/>
      <x:c r="W15" s="6"/>
      <x:c r="X15" s="6"/>
      <x:c r="Y15" s="6"/>
      <x:c r="Z15" s="6"/>
      <x:c r="AA15" s="6"/>
      <x:c r="AB15" s="66" t="s">
        <x:v>25</x:v>
      </x:c>
      <x:c r="AC15" s="35">
        <x:v>75</x:v>
      </x:c>
      <x:c r="AD15" s="36">
        <x:v>50</x:v>
      </x:c>
      <x:c r="AE15" s="36">
        <x:v>58.3</x:v>
      </x:c>
      <x:c r="AF15" s="33">
        <x:f t="shared" si="0"/>
        <x:v>61.1</x:v>
      </x:c>
      <x:c r="AG15" s="6" t="s">
        <x:v>177</x:v>
      </x:c>
      <x:c r="AH15" s="58"/>
      <x:c r="AI15" s="58"/>
      <x:c r="AJ15" s="58"/>
      <x:c r="AK15" s="58"/>
      <x:c r="AL15" s="58"/>
      <x:c r="AM15" s="58"/>
      <x:c r="AN15" s="58" t="s">
        <x:v>596</x:v>
      </x:c>
      <x:c r="AO15" s="105"/>
    </x:row>
    <x:row r="16" ht="259.20001220703125" hidden="1" customHeight="1">
      <x:c r="A16" s="114">
        <x:v>15</x:v>
      </x:c>
      <x:c r="B16" s="6" t="s">
        <x:v>597</x:v>
      </x:c>
      <x:c r="C16" s="6"/>
      <x:c r="D16" s="6">
        <x:v>2017</x:v>
      </x:c>
      <x:c r="E16" s="109" t="s">
        <x:v>598</x:v>
      </x:c>
      <x:c r="F16" s="6" t="s">
        <x:v>50</x:v>
      </x:c>
      <x:c r="G16" s="6" t="s">
        <x:v>51</x:v>
      </x:c>
      <x:c r="H16" s="6"/>
      <x:c r="I16" s="6" t="s">
        <x:v>476</x:v>
      </x:c>
      <x:c r="J16" s="6" t="s">
        <x:v>66</x:v>
      </x:c>
      <x:c r="K16" s="6" t="s">
        <x:v>599</x:v>
      </x:c>
      <x:c r="L16" s="6" t="s">
        <x:v>600</x:v>
      </x:c>
      <x:c r="M16" s="6" t="s">
        <x:v>601</x:v>
      </x:c>
      <x:c r="N16" s="91" t="s">
        <x:v>602</x:v>
      </x:c>
      <x:c r="O16" s="6" t="s">
        <x:v>603</x:v>
      </x:c>
      <x:c r="P16" s="6" t="s">
        <x:v>604</x:v>
      </x:c>
      <x:c r="Q16" s="6"/>
      <x:c r="R16" s="6"/>
      <x:c r="S16" s="6" t="s">
        <x:v>60</x:v>
      </x:c>
      <x:c r="T16" s="6"/>
      <x:c r="U16" s="6"/>
      <x:c r="V16" s="6"/>
      <x:c r="W16" s="6"/>
      <x:c r="X16" s="6"/>
      <x:c r="Y16" s="6"/>
      <x:c r="Z16" s="6"/>
      <x:c r="AA16" s="6"/>
      <x:c r="AB16" s="65" t="s">
        <x:v>24</x:v>
      </x:c>
      <x:c r="AC16" s="35">
        <x:v>75</x:v>
      </x:c>
      <x:c r="AD16" s="35">
        <x:v>75</x:v>
      </x:c>
      <x:c r="AE16" s="36">
        <x:v>66.7</x:v>
      </x:c>
      <x:c r="AF16" s="33">
        <x:f t="shared" si="0"/>
        <x:v>72.233333333333334</x:v>
      </x:c>
      <x:c r="AG16" s="6" t="s">
        <x:v>50</x:v>
      </x:c>
      <x:c r="AH16" s="58"/>
      <x:c r="AI16" s="58"/>
      <x:c r="AJ16" s="58"/>
      <x:c r="AK16" s="58"/>
      <x:c r="AL16" s="58"/>
      <x:c r="AM16" s="58"/>
      <x:c r="AN16" s="122" t="s">
        <x:v>580</x:v>
      </x:c>
      <x:c r="AO16" s="105"/>
    </x:row>
    <x:row r="17" ht="219" hidden="1" customHeight="1">
      <x:c r="A17" s="114">
        <x:v>16</x:v>
      </x:c>
      <x:c r="B17" s="6" t="s">
        <x:v>605</x:v>
      </x:c>
      <x:c r="C17" s="6"/>
      <x:c r="D17" s="6">
        <x:v>2021</x:v>
      </x:c>
      <x:c r="E17" s="109" t="s">
        <x:v>606</x:v>
      </x:c>
      <x:c r="F17" s="6" t="s">
        <x:v>50</x:v>
      </x:c>
      <x:c r="G17" s="6"/>
      <x:c r="H17" s="6"/>
      <x:c r="I17" s="6" t="s">
        <x:v>607</x:v>
      </x:c>
      <x:c r="J17" s="6"/>
      <x:c r="K17" s="6" t="s">
        <x:v>608</x:v>
      </x:c>
      <x:c r="L17" s="6" t="s">
        <x:v>609</x:v>
      </x:c>
      <x:c r="M17" s="6" t="s">
        <x:v>610</x:v>
      </x:c>
      <x:c r="N17" s="91" t="s">
        <x:v>611</x:v>
      </x:c>
      <x:c r="O17" s="6" t="s">
        <x:v>612</x:v>
      </x:c>
      <x:c r="P17" s="6" t="s">
        <x:v>613</x:v>
      </x:c>
      <x:c r="Q17" s="6"/>
      <x:c r="R17" s="6"/>
      <x:c r="S17" s="6" t="s">
        <x:v>60</x:v>
      </x:c>
      <x:c r="T17" s="6"/>
      <x:c r="U17" s="6"/>
      <x:c r="V17" s="6"/>
      <x:c r="W17" s="6"/>
      <x:c r="X17" s="6"/>
      <x:c r="Y17" s="6"/>
      <x:c r="Z17" s="6"/>
      <x:c r="AA17" s="6"/>
      <x:c r="AB17" s="65" t="s">
        <x:v>24</x:v>
      </x:c>
      <x:c r="AC17" s="36">
        <x:v>62.5</x:v>
      </x:c>
      <x:c r="AD17" s="36">
        <x:v>50</x:v>
      </x:c>
      <x:c r="AE17" s="36">
        <x:v>62.5</x:v>
      </x:c>
      <x:c r="AF17" s="33">
        <x:f t="shared" si="0"/>
        <x:v>58.333333333333336</x:v>
      </x:c>
      <x:c r="AG17" s="6" t="s">
        <x:v>50</x:v>
      </x:c>
      <x:c r="AH17" s="58"/>
      <x:c r="AI17" s="58"/>
      <x:c r="AJ17" s="58"/>
      <x:c r="AK17" s="58"/>
      <x:c r="AL17" s="58"/>
      <x:c r="AM17" s="105"/>
      <x:c r="AN17" s="124">
        <x:v>4711.7299999999996</x:v>
      </x:c>
      <x:c r="AO17" s="139" t="s">
        <x:v>614</x:v>
      </x:c>
    </x:row>
    <x:row r="18" ht="190.9499969482422" hidden="1" customHeight="1">
      <x:c r="A18" s="114">
        <x:v>17</x:v>
      </x:c>
      <x:c r="B18" s="6" t="s">
        <x:v>615</x:v>
      </x:c>
      <x:c r="C18" s="6"/>
      <x:c r="D18" s="6">
        <x:v>2021</x:v>
      </x:c>
      <x:c r="E18" s="6" t="s">
        <x:v>616</x:v>
      </x:c>
      <x:c r="F18" s="6" t="s">
        <x:v>50</x:v>
      </x:c>
      <x:c r="G18" s="6"/>
      <x:c r="H18" s="6"/>
      <x:c r="I18" s="6" t="s">
        <x:v>607</x:v>
      </x:c>
      <x:c r="J18" s="6"/>
      <x:c r="K18" s="6" t="s">
        <x:v>617</x:v>
      </x:c>
      <x:c r="L18" s="6" t="s">
        <x:v>618</x:v>
      </x:c>
      <x:c r="M18" s="6" t="s">
        <x:v>619</x:v>
      </x:c>
      <x:c r="N18" s="91" t="s">
        <x:v>620</x:v>
      </x:c>
      <x:c r="O18" s="6" t="s">
        <x:v>621</x:v>
      </x:c>
      <x:c r="P18" s="6" t="s">
        <x:v>613</x:v>
      </x:c>
      <x:c r="Q18" s="6"/>
      <x:c r="R18" s="6"/>
      <x:c r="S18" s="6" t="s">
        <x:v>60</x:v>
      </x:c>
      <x:c r="T18" s="6"/>
      <x:c r="U18" s="6"/>
      <x:c r="V18" s="6"/>
      <x:c r="W18" s="6"/>
      <x:c r="X18" s="6"/>
      <x:c r="Y18" s="6"/>
      <x:c r="Z18" s="6"/>
      <x:c r="AA18" s="6"/>
      <x:c r="AB18" s="65" t="s">
        <x:v>24</x:v>
      </x:c>
      <x:c r="AC18" s="35">
        <x:v>87.5</x:v>
      </x:c>
      <x:c r="AD18" s="35">
        <x:v>75</x:v>
      </x:c>
      <x:c r="AE18" s="36">
        <x:v>62.5</x:v>
      </x:c>
      <x:c r="AF18" s="32">
        <x:f t="shared" si="0"/>
        <x:v>75</x:v>
      </x:c>
      <x:c r="AG18" s="6" t="s">
        <x:v>50</x:v>
      </x:c>
      <x:c r="AH18" s="58"/>
      <x:c r="AI18" s="58"/>
      <x:c r="AJ18" s="58"/>
      <x:c r="AK18" s="58"/>
      <x:c r="AL18" s="58"/>
      <x:c r="AM18" s="105"/>
      <x:c r="AN18" s="125"/>
      <x:c r="AO18" s="140"/>
    </x:row>
    <x:row r="19" ht="159" hidden="1" customHeight="1">
      <x:c r="A19" s="114">
        <x:v>18</x:v>
      </x:c>
      <x:c r="B19" s="6" t="s">
        <x:v>622</x:v>
      </x:c>
      <x:c r="C19" s="6"/>
      <x:c r="D19" s="6">
        <x:v>2019</x:v>
      </x:c>
      <x:c r="E19" s="109" t="s">
        <x:v>623</x:v>
      </x:c>
      <x:c r="F19" s="6" t="s">
        <x:v>50</x:v>
      </x:c>
      <x:c r="G19" s="6"/>
      <x:c r="H19" s="6"/>
      <x:c r="I19" s="6" t="s">
        <x:v>607</x:v>
      </x:c>
      <x:c r="J19" s="6"/>
      <x:c r="K19" s="6" t="s">
        <x:v>624</x:v>
      </x:c>
      <x:c r="L19" s="6" t="s">
        <x:v>625</x:v>
      </x:c>
      <x:c r="M19" s="6" t="s">
        <x:v>626</x:v>
      </x:c>
      <x:c r="N19" s="91" t="s">
        <x:v>627</x:v>
      </x:c>
      <x:c r="O19" s="6" t="s">
        <x:v>628</x:v>
      </x:c>
      <x:c r="P19" s="6" t="s">
        <x:v>629</x:v>
      </x:c>
      <x:c r="Q19" s="6"/>
      <x:c r="R19" s="6"/>
      <x:c r="S19" s="6" t="s">
        <x:v>60</x:v>
      </x:c>
      <x:c r="T19" s="6"/>
      <x:c r="U19" s="6"/>
      <x:c r="V19" s="6"/>
      <x:c r="W19" s="6"/>
      <x:c r="X19" s="6"/>
      <x:c r="Y19" s="6"/>
      <x:c r="Z19" s="6"/>
      <x:c r="AA19" s="6"/>
      <x:c r="AB19" s="65" t="s">
        <x:v>24</x:v>
      </x:c>
      <x:c r="AC19" s="35">
        <x:v>75</x:v>
      </x:c>
      <x:c r="AD19" s="36">
        <x:v>62.5</x:v>
      </x:c>
      <x:c r="AE19" s="36">
        <x:v>50</x:v>
      </x:c>
      <x:c r="AF19" s="33">
        <x:f t="shared" si="0"/>
        <x:v>62.5</x:v>
      </x:c>
      <x:c r="AG19" s="6" t="s">
        <x:v>50</x:v>
      </x:c>
      <x:c r="AH19" s="58"/>
      <x:c r="AI19" s="58">
        <x:v>550</x:v>
      </x:c>
      <x:c r="AJ19" s="58">
        <x:v>200</x:v>
      </x:c>
      <x:c r="AK19" s="58"/>
      <x:c r="AL19" s="58"/>
      <x:c r="AM19" s="58"/>
      <x:c r="AN19" s="123">
        <x:v>750</x:v>
      </x:c>
      <x:c r="AO19" s="105" t="s">
        <x:v>630</x:v>
      </x:c>
    </x:row>
    <x:row r="20" ht="199.1999969482422" hidden="1" customHeight="1">
      <x:c r="A20" s="114">
        <x:v>19</x:v>
      </x:c>
      <x:c r="B20" s="6" t="s">
        <x:v>631</x:v>
      </x:c>
      <x:c r="C20" s="6"/>
      <x:c r="D20" s="6">
        <x:v>2020</x:v>
      </x:c>
      <x:c r="E20" s="109" t="s">
        <x:v>632</x:v>
      </x:c>
      <x:c r="F20" s="6" t="s">
        <x:v>50</x:v>
      </x:c>
      <x:c r="G20" s="6" t="s">
        <x:v>51</x:v>
      </x:c>
      <x:c r="H20" s="6"/>
      <x:c r="I20" s="6" t="s">
        <x:v>476</x:v>
      </x:c>
      <x:c r="J20" s="6" t="s">
        <x:v>66</x:v>
      </x:c>
      <x:c r="K20" s="6" t="s">
        <x:v>633</x:v>
      </x:c>
      <x:c r="L20" s="6" t="s">
        <x:v>585</x:v>
      </x:c>
      <x:c r="M20" s="6" t="s">
        <x:v>634</x:v>
      </x:c>
      <x:c r="N20" s="91" t="s">
        <x:v>635</x:v>
      </x:c>
      <x:c r="O20" s="6" t="s">
        <x:v>636</x:v>
      </x:c>
      <x:c r="P20" s="6" t="s">
        <x:v>637</x:v>
      </x:c>
      <x:c r="Q20" s="6"/>
      <x:c r="R20" s="6"/>
      <x:c r="S20" s="6" t="s">
        <x:v>60</x:v>
      </x:c>
      <x:c r="T20" s="6"/>
      <x:c r="U20" s="6"/>
      <x:c r="V20" s="6"/>
      <x:c r="W20" s="6"/>
      <x:c r="X20" s="6"/>
      <x:c r="Y20" s="6"/>
      <x:c r="Z20" s="6"/>
      <x:c r="AA20" s="6"/>
      <x:c r="AB20" s="65" t="s">
        <x:v>24</x:v>
      </x:c>
      <x:c r="AC20" s="36">
        <x:v>62.5</x:v>
      </x:c>
      <x:c r="AD20" s="36">
        <x:v>66.7</x:v>
      </x:c>
      <x:c r="AE20" s="35">
        <x:v>87.5</x:v>
      </x:c>
      <x:c r="AF20" s="33">
        <x:f t="shared" si="0"/>
        <x:v>72.233333333333334</x:v>
      </x:c>
      <x:c r="AG20" s="6" t="s">
        <x:v>50</x:v>
      </x:c>
      <x:c r="AH20" s="58"/>
      <x:c r="AI20" s="58"/>
      <x:c r="AJ20" s="58"/>
      <x:c r="AK20" s="58"/>
      <x:c r="AL20" s="58"/>
      <x:c r="AM20" s="58"/>
      <x:c r="AN20" s="58" t="s">
        <x:v>638</x:v>
      </x:c>
      <x:c r="AO20" s="105" t="s">
        <x:v>639</x:v>
      </x:c>
    </x:row>
    <x:row r="21" ht="206.39999389648438" hidden="1" customHeight="1">
      <x:c r="A21" s="112">
        <x:v>20</x:v>
      </x:c>
      <x:c r="B21" s="6" t="s">
        <x:v>640</x:v>
      </x:c>
      <x:c r="C21" s="6"/>
      <x:c r="D21" s="6">
        <x:v>2019</x:v>
      </x:c>
      <x:c r="E21" s="109" t="s">
        <x:v>641</x:v>
      </x:c>
      <x:c r="F21" s="6" t="s">
        <x:v>341</x:v>
      </x:c>
      <x:c r="G21" s="6" t="s">
        <x:v>51</x:v>
      </x:c>
      <x:c r="H21" s="6"/>
      <x:c r="I21" s="6" t="s">
        <x:v>476</x:v>
      </x:c>
      <x:c r="J21" s="6" t="s">
        <x:v>66</x:v>
      </x:c>
      <x:c r="K21" s="6" t="s">
        <x:v>642</x:v>
      </x:c>
      <x:c r="L21" s="6" t="s">
        <x:v>643</x:v>
      </x:c>
      <x:c r="M21" s="6" t="s">
        <x:v>644</x:v>
      </x:c>
      <x:c r="N21" s="91" t="s">
        <x:v>645</x:v>
      </x:c>
      <x:c r="O21" s="6" t="s">
        <x:v>646</x:v>
      </x:c>
      <x:c r="P21" s="6" t="s">
        <x:v>647</x:v>
      </x:c>
      <x:c r="Q21" s="6"/>
      <x:c r="R21" s="6" t="s">
        <x:v>60</x:v>
      </x:c>
      <x:c r="S21" s="6"/>
      <x:c r="T21" s="6"/>
      <x:c r="U21" s="6"/>
      <x:c r="V21" s="6"/>
      <x:c r="W21" s="6"/>
      <x:c r="X21" s="6"/>
      <x:c r="Y21" s="6"/>
      <x:c r="Z21" s="6"/>
      <x:c r="AA21" s="6"/>
      <x:c r="AB21" s="35" t="s">
        <x:v>648</x:v>
      </x:c>
      <x:c r="AC21" s="35">
        <x:v>75</x:v>
      </x:c>
      <x:c r="AD21" s="36">
        <x:v>62.5</x:v>
      </x:c>
      <x:c r="AE21" s="36">
        <x:v>50</x:v>
      </x:c>
      <x:c r="AF21" s="33">
        <x:f t="shared" si="0"/>
        <x:v>62.5</x:v>
      </x:c>
      <x:c r="AG21" s="6" t="s">
        <x:v>177</x:v>
      </x:c>
      <x:c r="AH21" s="58"/>
      <x:c r="AI21" s="58">
        <x:v>1600</x:v>
      </x:c>
      <x:c r="AJ21" s="58"/>
      <x:c r="AK21" s="58"/>
      <x:c r="AL21" s="58"/>
      <x:c r="AM21" s="58"/>
      <x:c r="AN21" s="58" t="n">
        <x:f>SUM(AH21:AM21)</x:f>
        <x:v>1600</x:v>
      </x:c>
      <x:c r="AO21" s="105" t="s">
        <x:v>649</x:v>
      </x:c>
    </x:row>
    <x:row r="22" ht="247.9499969482422" hidden="1" customHeight="1">
      <x:c r="A22" s="108">
        <x:v>21</x:v>
      </x:c>
      <x:c r="B22" s="6" t="s">
        <x:v>650</x:v>
      </x:c>
      <x:c r="C22" s="6"/>
      <x:c r="D22" s="6">
        <x:v>2019</x:v>
      </x:c>
      <x:c r="E22" s="6" t="s">
        <x:v>651</x:v>
      </x:c>
      <x:c r="F22" s="6" t="s">
        <x:v>652</x:v>
      </x:c>
      <x:c r="G22" s="6"/>
      <x:c r="H22" s="6"/>
      <x:c r="I22" s="6" t="s">
        <x:v>653</x:v>
      </x:c>
      <x:c r="J22" s="6"/>
      <x:c r="K22" s="6" t="s">
        <x:v>654</x:v>
      </x:c>
      <x:c r="L22" s="6" t="s">
        <x:v>655</x:v>
      </x:c>
      <x:c r="M22" s="6" t="s">
        <x:v>656</x:v>
      </x:c>
      <x:c r="N22" s="91" t="s">
        <x:v>657</x:v>
      </x:c>
      <x:c r="O22" s="6" t="s">
        <x:v>658</x:v>
      </x:c>
      <x:c r="P22" s="6" t="s">
        <x:v>659</x:v>
      </x:c>
      <x:c r="Q22" s="6"/>
      <x:c r="R22" s="6"/>
      <x:c r="S22" s="6"/>
      <x:c r="T22" s="6"/>
      <x:c r="U22" s="6"/>
      <x:c r="V22" s="6"/>
      <x:c r="W22" s="6"/>
      <x:c r="X22" s="6"/>
      <x:c r="Y22" s="6" t="s">
        <x:v>60</x:v>
      </x:c>
      <x:c r="Z22" s="6"/>
      <x:c r="AA22" s="6"/>
      <x:c r="AB22" s="38" t="s">
        <x:v>30</x:v>
      </x:c>
      <x:c r="AC22" s="36">
        <x:v>50</x:v>
      </x:c>
      <x:c r="AD22" s="37">
        <x:v>37.5</x:v>
      </x:c>
      <x:c r="AE22" s="37">
        <x:v>25</x:v>
      </x:c>
      <x:c r="AF22" s="34">
        <x:f t="shared" si="0"/>
        <x:v>37.5</x:v>
      </x:c>
      <x:c r="AG22" s="6"/>
      <x:c r="AH22" s="58"/>
      <x:c r="AI22" s="58"/>
      <x:c r="AJ22" s="58"/>
      <x:c r="AK22" s="58"/>
      <x:c r="AL22" s="58"/>
      <x:c r="AM22" s="58"/>
      <x:c r="AN22" s="58" t="s">
        <x:v>660</x:v>
      </x:c>
      <x:c r="AO22" s="105" t="s">
        <x:v>661</x:v>
      </x:c>
    </x:row>
    <x:row r="23" ht="180" hidden="1" customHeight="1">
      <x:c r="A23" s="112">
        <x:v>22</x:v>
      </x:c>
      <x:c r="B23" s="6" t="s">
        <x:v>662</x:v>
      </x:c>
      <x:c r="C23" s="6">
        <x:v>2021</x:v>
      </x:c>
      <x:c r="D23" s="6">
        <x:v>2022</x:v>
      </x:c>
      <x:c r="E23" s="109" t="s">
        <x:v>663</x:v>
      </x:c>
      <x:c r="F23" s="6" t="s">
        <x:v>111</x:v>
      </x:c>
      <x:c r="G23" s="6" t="s">
        <x:v>112</x:v>
      </x:c>
      <x:c r="H23" s="174" t="s">
        <x:v>664</x:v>
      </x:c>
      <x:c r="I23" s="6" t="s">
        <x:v>476</x:v>
      </x:c>
      <x:c r="J23" s="6" t="s">
        <x:v>66</x:v>
      </x:c>
      <x:c r="K23" s="6" t="s">
        <x:v>665</x:v>
      </x:c>
      <x:c r="L23" s="6" t="s">
        <x:v>666</x:v>
      </x:c>
      <x:c r="M23" s="6" t="s">
        <x:v>667</x:v>
      </x:c>
      <x:c r="N23" s="91" t="s">
        <x:v>668</x:v>
      </x:c>
      <x:c r="O23" s="6" t="s">
        <x:v>669</x:v>
      </x:c>
      <x:c r="P23" s="6" t="s">
        <x:v>647</x:v>
      </x:c>
      <x:c r="Q23" s="6" t="s">
        <x:v>670</x:v>
      </x:c>
      <x:c r="R23" s="6" t="s">
        <x:v>60</x:v>
      </x:c>
      <x:c r="S23" s="6"/>
      <x:c r="T23" s="6"/>
      <x:c r="U23" s="6"/>
      <x:c r="V23" s="6"/>
      <x:c r="W23" s="6"/>
      <x:c r="X23" s="6"/>
      <x:c r="Y23" s="6"/>
      <x:c r="Z23" s="6"/>
      <x:c r="AA23" s="6"/>
      <x:c r="AB23" s="35" t="s">
        <x:v>648</x:v>
      </x:c>
      <x:c r="AC23" s="35">
        <x:v>75</x:v>
      </x:c>
      <x:c r="AD23" s="36">
        <x:v>62.5</x:v>
      </x:c>
      <x:c r="AE23" s="36">
        <x:v>50</x:v>
      </x:c>
      <x:c r="AF23" s="33">
        <x:f t="shared" si="0"/>
        <x:v>62.5</x:v>
      </x:c>
      <x:c r="AG23" s="6"/>
      <x:c r="AH23" s="122"/>
      <x:c r="AI23" s="122" t="n">
        <x:f>1150+150</x:f>
        <x:v>1300</x:v>
      </x:c>
      <x:c r="AJ23" s="122"/>
      <x:c r="AK23" s="122"/>
      <x:c r="AL23" s="122"/>
      <x:c r="AM23" s="122">
        <x:v>200</x:v>
      </x:c>
      <x:c r="AN23" s="122" t="n">
        <x:f>SUM(AH23:AM24)</x:f>
        <x:v>1500</x:v>
      </x:c>
      <x:c r="AO23" s="107" t="s">
        <x:v>671</x:v>
      </x:c>
    </x:row>
    <x:row r="24" ht="198.60000610351562" hidden="1" customHeight="1">
      <x:c r="A24" s="112">
        <x:v>23</x:v>
      </x:c>
      <x:c r="B24" s="6" t="s">
        <x:v>672</x:v>
      </x:c>
      <x:c r="C24" s="6"/>
      <x:c r="D24" s="6">
        <x:v>2022</x:v>
      </x:c>
      <x:c r="E24" s="109" t="s">
        <x:v>673</x:v>
      </x:c>
      <x:c r="F24" s="6" t="s">
        <x:v>111</x:v>
      </x:c>
      <x:c r="G24" s="6" t="s">
        <x:v>112</x:v>
      </x:c>
      <x:c r="H24" s="6"/>
      <x:c r="I24" s="6" t="s">
        <x:v>476</x:v>
      </x:c>
      <x:c r="J24" s="6" t="s">
        <x:v>66</x:v>
      </x:c>
      <x:c r="K24" s="6" t="s">
        <x:v>674</x:v>
      </x:c>
      <x:c r="L24" s="6" t="s">
        <x:v>675</x:v>
      </x:c>
      <x:c r="M24" s="6" t="s">
        <x:v>676</x:v>
      </x:c>
      <x:c r="N24" s="91" t="s">
        <x:v>677</x:v>
      </x:c>
      <x:c r="O24" s="6" t="s">
        <x:v>678</x:v>
      </x:c>
      <x:c r="P24" s="6" t="s">
        <x:v>647</x:v>
      </x:c>
      <x:c r="Q24" s="6"/>
      <x:c r="R24" s="6" t="s">
        <x:v>60</x:v>
      </x:c>
      <x:c r="S24" s="6"/>
      <x:c r="T24" s="6"/>
      <x:c r="U24" s="6"/>
      <x:c r="V24" s="6"/>
      <x:c r="W24" s="6"/>
      <x:c r="X24" s="6"/>
      <x:c r="Y24" s="6"/>
      <x:c r="Z24" s="6"/>
      <x:c r="AA24" s="6"/>
      <x:c r="AB24" s="35" t="s">
        <x:v>648</x:v>
      </x:c>
      <x:c r="AC24" s="35">
        <x:v>75</x:v>
      </x:c>
      <x:c r="AD24" s="36">
        <x:v>62.5</x:v>
      </x:c>
      <x:c r="AE24" s="36">
        <x:v>50</x:v>
      </x:c>
      <x:c r="AF24" s="33">
        <x:f t="shared" si="0"/>
        <x:v>62.5</x:v>
      </x:c>
      <x:c r="AG24" s="6"/>
      <x:c r="AH24" s="123"/>
      <x:c r="AI24" s="123"/>
      <x:c r="AJ24" s="123"/>
      <x:c r="AK24" s="123"/>
      <x:c r="AL24" s="123"/>
      <x:c r="AM24" s="123"/>
      <x:c r="AN24" s="123"/>
      <x:c r="AO24" s="132"/>
    </x:row>
    <x:row r="25" ht="192" customHeight="1">
      <x:c r="A25" s="114">
        <x:v>24</x:v>
      </x:c>
      <x:c r="B25" s="6" t="s">
        <x:v>679</x:v>
      </x:c>
      <x:c r="C25" s="6"/>
      <x:c r="D25" s="6">
        <x:v>2021</x:v>
      </x:c>
      <x:c r="E25" s="109" t="s">
        <x:v>680</x:v>
      </x:c>
      <x:c r="F25" s="6" t="s">
        <x:v>89</x:v>
      </x:c>
      <x:c r="G25" s="6"/>
      <x:c r="H25" s="6"/>
      <x:c r="I25" s="6" t="s">
        <x:v>681</x:v>
      </x:c>
      <x:c r="J25" s="6"/>
      <x:c r="K25" s="6" t="s">
        <x:v>682</x:v>
      </x:c>
      <x:c r="L25" s="6" t="s">
        <x:v>683</x:v>
      </x:c>
      <x:c r="M25" s="6" t="s">
        <x:v>684</x:v>
      </x:c>
      <x:c r="N25" s="91" t="s">
        <x:v>685</x:v>
      </x:c>
      <x:c r="O25" s="6"/>
      <x:c r="P25" s="6" t="s">
        <x:v>686</x:v>
      </x:c>
      <x:c r="Q25" s="6"/>
      <x:c r="R25" s="6"/>
      <x:c r="S25" s="6" t="s">
        <x:v>60</x:v>
      </x:c>
      <x:c r="T25" s="6"/>
      <x:c r="U25" s="6"/>
      <x:c r="V25" s="6"/>
      <x:c r="W25" s="6"/>
      <x:c r="X25" s="6"/>
      <x:c r="Y25" s="6"/>
      <x:c r="Z25" s="6"/>
      <x:c r="AA25" s="6"/>
      <x:c r="AB25" s="65" t="s">
        <x:v>24</x:v>
      </x:c>
      <x:c r="AC25" s="35">
        <x:v>75</x:v>
      </x:c>
      <x:c r="AD25" s="36">
        <x:v>66.7</x:v>
      </x:c>
      <x:c r="AE25" s="36">
        <x:v>62.5</x:v>
      </x:c>
      <x:c r="AF25" s="33">
        <x:f t="shared" si="0"/>
        <x:v>68.066666666666663</x:v>
      </x:c>
      <x:c r="AG25" s="6"/>
      <x:c r="AH25" s="58"/>
      <x:c r="AI25" s="58"/>
      <x:c r="AJ25" s="58"/>
      <x:c r="AK25" s="58"/>
      <x:c r="AL25" s="58"/>
      <x:c r="AM25" s="58"/>
      <x:c r="AN25" s="58" t="s">
        <x:v>687</x:v>
      </x:c>
      <x:c r="AO25" s="105" t="s">
        <x:v>688</x:v>
      </x:c>
    </x:row>
    <x:row r="26" ht="228" hidden="1" customHeight="1">
      <x:c r="A26" s="114">
        <x:v>25</x:v>
      </x:c>
      <x:c r="B26" s="86" t="s">
        <x:v>689</x:v>
      </x:c>
      <x:c r="C26" s="86"/>
      <x:c r="D26" s="6">
        <x:v>2019</x:v>
      </x:c>
      <x:c r="E26" s="141" t="s">
        <x:v>690</x:v>
      </x:c>
      <x:c r="F26" s="6" t="s">
        <x:v>691</x:v>
      </x:c>
      <x:c r="G26" s="6"/>
      <x:c r="H26" s="6"/>
      <x:c r="I26" s="6" t="s">
        <x:v>487</x:v>
      </x:c>
      <x:c r="J26" s="6" t="s">
        <x:v>114</x:v>
      </x:c>
      <x:c r="K26" s="6" t="s">
        <x:v>692</x:v>
      </x:c>
      <x:c r="L26" s="6" t="s">
        <x:v>693</x:v>
      </x:c>
      <x:c r="M26" s="6" t="s">
        <x:v>694</x:v>
      </x:c>
      <x:c r="N26" s="91" t="s">
        <x:v>695</x:v>
      </x:c>
      <x:c r="O26" s="6" t="s">
        <x:v>696</x:v>
      </x:c>
      <x:c r="P26" s="6" t="s">
        <x:v>697</x:v>
      </x:c>
      <x:c r="Q26" s="6"/>
      <x:c r="R26" s="6"/>
      <x:c r="S26" s="6" t="s">
        <x:v>60</x:v>
      </x:c>
      <x:c r="T26" s="6"/>
      <x:c r="U26" s="6"/>
      <x:c r="V26" s="6"/>
      <x:c r="W26" s="6"/>
      <x:c r="X26" s="6"/>
      <x:c r="Y26" s="6"/>
      <x:c r="Z26" s="6"/>
      <x:c r="AA26" s="6"/>
      <x:c r="AB26" s="65" t="s">
        <x:v>24</x:v>
      </x:c>
      <x:c r="AC26" s="35">
        <x:v>75</x:v>
      </x:c>
      <x:c r="AD26" s="35">
        <x:v>75</x:v>
      </x:c>
      <x:c r="AE26" s="35">
        <x:v>75</x:v>
      </x:c>
      <x:c r="AF26" s="32">
        <x:f t="shared" si="0"/>
        <x:v>75</x:v>
      </x:c>
      <x:c r="AG26" s="6"/>
      <x:c r="AH26" s="58">
        <x:v>690</x:v>
      </x:c>
      <x:c r="AI26" s="58">
        <x:v>600</x:v>
      </x:c>
      <x:c r="AJ26" s="58">
        <x:v>1400</x:v>
      </x:c>
      <x:c r="AK26" s="58"/>
      <x:c r="AL26" s="58"/>
      <x:c r="AM26" s="58"/>
      <x:c r="AN26" s="6" t="n">
        <x:f>SUM(AH26:AM26)</x:f>
        <x:v>2690</x:v>
      </x:c>
      <x:c r="AO26" s="105" t="s">
        <x:v>698</x:v>
      </x:c>
    </x:row>
    <x:row r="27" ht="172.1999969482422" hidden="1" customHeight="1">
      <x:c r="A27" s="114">
        <x:v>26</x:v>
      </x:c>
      <x:c r="B27" s="104" t="s">
        <x:v>699</x:v>
      </x:c>
      <x:c r="C27" s="104"/>
      <x:c r="D27" s="104">
        <x:v>2019</x:v>
      </x:c>
      <x:c r="E27" s="109" t="s">
        <x:v>700</x:v>
      </x:c>
      <x:c r="F27" s="6" t="s">
        <x:v>177</x:v>
      </x:c>
      <x:c r="G27" s="6"/>
      <x:c r="H27" s="6"/>
      <x:c r="I27" s="6" t="s">
        <x:v>487</x:v>
      </x:c>
      <x:c r="J27" s="6" t="s">
        <x:v>114</x:v>
      </x:c>
      <x:c r="K27" s="6" t="s">
        <x:v>701</x:v>
      </x:c>
      <x:c r="L27" s="6" t="s">
        <x:v>702</x:v>
      </x:c>
      <x:c r="M27" s="6" t="s">
        <x:v>703</x:v>
      </x:c>
      <x:c r="N27" s="91" t="s">
        <x:v>704</x:v>
      </x:c>
      <x:c r="O27" s="6" t="s">
        <x:v>705</x:v>
      </x:c>
      <x:c r="P27" s="6" t="s">
        <x:v>706</x:v>
      </x:c>
      <x:c r="Q27" s="6" t="s">
        <x:v>707</x:v>
      </x:c>
      <x:c r="R27" s="6"/>
      <x:c r="S27" s="6" t="s">
        <x:v>60</x:v>
      </x:c>
      <x:c r="T27" s="6"/>
      <x:c r="U27" s="6"/>
      <x:c r="V27" s="6"/>
      <x:c r="W27" s="6"/>
      <x:c r="X27" s="6"/>
      <x:c r="Y27" s="6"/>
      <x:c r="Z27" s="6"/>
      <x:c r="AA27" s="6"/>
      <x:c r="AB27" s="65" t="s">
        <x:v>24</x:v>
      </x:c>
      <x:c r="AC27" s="35">
        <x:v>87.5</x:v>
      </x:c>
      <x:c r="AD27" s="35">
        <x:v>75</x:v>
      </x:c>
      <x:c r="AE27" s="35">
        <x:v>87.5</x:v>
      </x:c>
      <x:c r="AF27" s="32">
        <x:f t="shared" si="0"/>
        <x:v>83.333333333333329</x:v>
      </x:c>
      <x:c r="AG27" s="6" t="s">
        <x:v>177</x:v>
      </x:c>
      <x:c r="AH27" s="58"/>
      <x:c r="AI27" s="58"/>
      <x:c r="AJ27" s="58"/>
      <x:c r="AK27" s="58"/>
      <x:c r="AL27" s="58"/>
      <x:c r="AM27" s="58"/>
      <x:c r="AN27" s="58">
        <x:v>945</x:v>
      </x:c>
      <x:c r="AO27" s="105" t="s">
        <x:v>708</x:v>
      </x:c>
    </x:row>
    <x:row r="28" ht="184.1999969482422" hidden="1" customHeight="1">
      <x:c r="A28" s="110">
        <x:v>27</x:v>
      </x:c>
      <x:c r="B28" s="6" t="s">
        <x:v>709</x:v>
      </x:c>
      <x:c r="C28" s="6"/>
      <x:c r="D28" s="6">
        <x:v>2022</x:v>
      </x:c>
      <x:c r="E28" s="109" t="s">
        <x:v>710</x:v>
      </x:c>
      <x:c r="F28" s="6" t="s">
        <x:v>76</x:v>
      </x:c>
      <x:c r="G28" s="6"/>
      <x:c r="H28" s="6"/>
      <x:c r="I28" s="6" t="s">
        <x:v>487</x:v>
      </x:c>
      <x:c r="J28" s="6"/>
      <x:c r="K28" s="6" t="s">
        <x:v>711</x:v>
      </x:c>
      <x:c r="L28" s="6" t="s">
        <x:v>712</x:v>
      </x:c>
      <x:c r="M28" s="6" t="s">
        <x:v>713</x:v>
      </x:c>
      <x:c r="N28" s="91" t="s">
        <x:v>714</x:v>
      </x:c>
      <x:c r="O28" s="6" t="s">
        <x:v>715</x:v>
      </x:c>
      <x:c r="P28" s="6" t="s">
        <x:v>716</x:v>
      </x:c>
      <x:c r="Q28" s="6"/>
      <x:c r="R28" s="6"/>
      <x:c r="S28" s="6"/>
      <x:c r="T28" s="6"/>
      <x:c r="U28" s="6"/>
      <x:c r="V28" s="6"/>
      <x:c r="W28" s="6" t="s">
        <x:v>60</x:v>
      </x:c>
      <x:c r="X28" s="6"/>
      <x:c r="Y28" s="6"/>
      <x:c r="Z28" s="6"/>
      <x:c r="AA28" s="6"/>
      <x:c r="AB28" s="63" t="s">
        <x:v>523</x:v>
      </x:c>
      <x:c r="AC28" s="35">
        <x:v>87.5</x:v>
      </x:c>
      <x:c r="AD28" s="35">
        <x:v>87.5</x:v>
      </x:c>
      <x:c r="AE28" s="35">
        <x:v>87.5</x:v>
      </x:c>
      <x:c r="AF28" s="32">
        <x:f t="shared" si="0"/>
        <x:v>87.5</x:v>
      </x:c>
      <x:c r="AG28" s="6" t="s">
        <x:v>76</x:v>
      </x:c>
      <x:c r="AH28" s="58"/>
      <x:c r="AI28" s="58"/>
      <x:c r="AJ28" s="58"/>
      <x:c r="AK28" s="58"/>
      <x:c r="AL28" s="58"/>
      <x:c r="AM28" s="58"/>
      <x:c r="AN28" s="122" t="s">
        <x:v>717</x:v>
      </x:c>
      <x:c r="AO28" s="105"/>
    </x:row>
    <x:row r="29" ht="228.60000610351562" hidden="1" customHeight="1">
      <x:c r="A29" s="110">
        <x:v>28</x:v>
      </x:c>
      <x:c r="B29" s="6" t="s">
        <x:v>718</x:v>
      </x:c>
      <x:c r="C29" s="6"/>
      <x:c r="D29" s="6">
        <x:v>2022</x:v>
      </x:c>
      <x:c r="E29" s="109" t="s">
        <x:v>719</x:v>
      </x:c>
      <x:c r="F29" s="6" t="s">
        <x:v>76</x:v>
      </x:c>
      <x:c r="G29" s="6"/>
      <x:c r="H29" s="6"/>
      <x:c r="I29" s="6" t="s">
        <x:v>487</x:v>
      </x:c>
      <x:c r="J29" s="6"/>
      <x:c r="K29" s="6" t="s">
        <x:v>720</x:v>
      </x:c>
      <x:c r="L29" s="6" t="s">
        <x:v>721</x:v>
      </x:c>
      <x:c r="M29" s="6" t="s">
        <x:v>722</x:v>
      </x:c>
      <x:c r="N29" s="91" t="s">
        <x:v>723</x:v>
      </x:c>
      <x:c r="O29" s="6" t="s">
        <x:v>724</x:v>
      </x:c>
      <x:c r="P29" s="6" t="s">
        <x:v>716</x:v>
      </x:c>
      <x:c r="Q29" s="6"/>
      <x:c r="R29" s="6"/>
      <x:c r="S29" s="6"/>
      <x:c r="T29" s="6"/>
      <x:c r="U29" s="6"/>
      <x:c r="V29" s="6"/>
      <x:c r="W29" s="6" t="s">
        <x:v>60</x:v>
      </x:c>
      <x:c r="X29" s="6"/>
      <x:c r="Y29" s="6"/>
      <x:c r="Z29" s="6"/>
      <x:c r="AA29" s="6"/>
      <x:c r="AB29" s="63" t="s">
        <x:v>523</x:v>
      </x:c>
      <x:c r="AC29" s="35">
        <x:v>87.5</x:v>
      </x:c>
      <x:c r="AD29" s="35">
        <x:v>87.5</x:v>
      </x:c>
      <x:c r="AE29" s="35">
        <x:v>87.5</x:v>
      </x:c>
      <x:c r="AF29" s="32">
        <x:f t="shared" si="0"/>
        <x:v>87.5</x:v>
      </x:c>
      <x:c r="AG29" s="6" t="s">
        <x:v>76</x:v>
      </x:c>
      <x:c r="AH29" s="58"/>
      <x:c r="AI29" s="58"/>
      <x:c r="AJ29" s="58"/>
      <x:c r="AK29" s="58"/>
      <x:c r="AL29" s="58"/>
      <x:c r="AM29" s="58"/>
      <x:c r="AN29" s="126"/>
      <x:c r="AO29" s="105"/>
    </x:row>
    <x:row r="30" ht="198" hidden="1" customHeight="1">
      <x:c r="A30" s="110">
        <x:v>29</x:v>
      </x:c>
      <x:c r="B30" s="6" t="s">
        <x:v>725</x:v>
      </x:c>
      <x:c r="C30" s="6"/>
      <x:c r="D30" s="6">
        <x:v>2022</x:v>
      </x:c>
      <x:c r="E30" s="109" t="s">
        <x:v>726</x:v>
      </x:c>
      <x:c r="F30" s="6" t="s">
        <x:v>76</x:v>
      </x:c>
      <x:c r="G30" s="6"/>
      <x:c r="H30" s="6"/>
      <x:c r="I30" s="6" t="s">
        <x:v>487</x:v>
      </x:c>
      <x:c r="J30" s="6"/>
      <x:c r="K30" s="6" t="s">
        <x:v>727</x:v>
      </x:c>
      <x:c r="L30" s="6" t="s">
        <x:v>728</x:v>
      </x:c>
      <x:c r="M30" s="6" t="s">
        <x:v>729</x:v>
      </x:c>
      <x:c r="N30" s="91" t="s">
        <x:v>730</x:v>
      </x:c>
      <x:c r="O30" s="6" t="s">
        <x:v>731</x:v>
      </x:c>
      <x:c r="P30" s="6" t="s">
        <x:v>716</x:v>
      </x:c>
      <x:c r="Q30" s="6"/>
      <x:c r="R30" s="6"/>
      <x:c r="S30" s="6"/>
      <x:c r="T30" s="6"/>
      <x:c r="U30" s="6"/>
      <x:c r="V30" s="6"/>
      <x:c r="W30" s="6" t="s">
        <x:v>60</x:v>
      </x:c>
      <x:c r="X30" s="6"/>
      <x:c r="Y30" s="6"/>
      <x:c r="Z30" s="6"/>
      <x:c r="AA30" s="6"/>
      <x:c r="AB30" s="63" t="s">
        <x:v>523</x:v>
      </x:c>
      <x:c r="AC30" s="35">
        <x:v>87.5</x:v>
      </x:c>
      <x:c r="AD30" s="35">
        <x:v>87.5</x:v>
      </x:c>
      <x:c r="AE30" s="35">
        <x:v>87.5</x:v>
      </x:c>
      <x:c r="AF30" s="32">
        <x:f t="shared" si="0"/>
        <x:v>87.5</x:v>
      </x:c>
      <x:c r="AG30" s="6" t="s">
        <x:v>76</x:v>
      </x:c>
      <x:c r="AH30" s="58"/>
      <x:c r="AI30" s="58"/>
      <x:c r="AJ30" s="58"/>
      <x:c r="AK30" s="58"/>
      <x:c r="AL30" s="58"/>
      <x:c r="AM30" s="58"/>
      <x:c r="AN30" s="123"/>
      <x:c r="AO30" s="105"/>
    </x:row>
    <x:row r="31" ht="153.60000610351562" hidden="1" customHeight="1">
      <x:c r="A31" s="110">
        <x:v>30</x:v>
      </x:c>
      <x:c r="B31" s="6" t="s">
        <x:v>732</x:v>
      </x:c>
      <x:c r="C31" s="6"/>
      <x:c r="D31" s="6">
        <x:v>2024</x:v>
      </x:c>
      <x:c r="E31" s="109" t="s">
        <x:v>733</x:v>
      </x:c>
      <x:c r="F31" s="6" t="s">
        <x:v>76</x:v>
      </x:c>
      <x:c r="G31" s="6"/>
      <x:c r="H31" s="6"/>
      <x:c r="I31" s="6"/>
      <x:c r="J31" s="6"/>
      <x:c r="K31" s="6" t="s">
        <x:v>734</x:v>
      </x:c>
      <x:c r="L31" s="6" t="s">
        <x:v>735</x:v>
      </x:c>
      <x:c r="M31" s="6" t="s">
        <x:v>736</x:v>
      </x:c>
      <x:c r="N31" s="91" t="s">
        <x:v>737</x:v>
      </x:c>
      <x:c r="O31" s="6" t="s">
        <x:v>738</x:v>
      </x:c>
      <x:c r="P31" s="6" t="s">
        <x:v>716</x:v>
      </x:c>
      <x:c r="Q31" s="6"/>
      <x:c r="R31" s="6"/>
      <x:c r="S31" s="6"/>
      <x:c r="T31" s="6"/>
      <x:c r="U31" s="6"/>
      <x:c r="V31" s="6"/>
      <x:c r="W31" s="6" t="s">
        <x:v>60</x:v>
      </x:c>
      <x:c r="X31" s="6"/>
      <x:c r="Y31" s="6"/>
      <x:c r="Z31" s="6"/>
      <x:c r="AA31" s="6"/>
      <x:c r="AB31" s="63" t="s">
        <x:v>523</x:v>
      </x:c>
      <x:c r="AC31" s="35">
        <x:v>87.5</x:v>
      </x:c>
      <x:c r="AD31" s="36">
        <x:v>66.7</x:v>
      </x:c>
      <x:c r="AE31" s="35">
        <x:v>87.5</x:v>
      </x:c>
      <x:c r="AF31" s="32">
        <x:f t="shared" si="0"/>
        <x:v>80.566666666666663</x:v>
      </x:c>
      <x:c r="AG31" s="6" t="s">
        <x:v>76</x:v>
      </x:c>
      <x:c r="AH31" s="58"/>
      <x:c r="AI31" s="58"/>
      <x:c r="AJ31" s="58"/>
      <x:c r="AK31" s="58"/>
      <x:c r="AL31" s="58"/>
      <x:c r="AM31" s="58"/>
      <x:c r="AN31" s="122" t="s">
        <x:v>739</x:v>
      </x:c>
      <x:c r="AO31" s="105"/>
    </x:row>
    <x:row r="32" ht="197.39999389648438" hidden="1" customHeight="1">
      <x:c r="A32" s="110">
        <x:v>31</x:v>
      </x:c>
      <x:c r="B32" s="6" t="s">
        <x:v>740</x:v>
      </x:c>
      <x:c r="C32" s="6"/>
      <x:c r="D32" s="6">
        <x:v>2024</x:v>
      </x:c>
      <x:c r="E32" s="6" t="s">
        <x:v>741</x:v>
      </x:c>
      <x:c r="F32" s="6" t="s">
        <x:v>76</x:v>
      </x:c>
      <x:c r="G32" s="6"/>
      <x:c r="H32" s="6"/>
      <x:c r="I32" s="6"/>
      <x:c r="J32" s="6"/>
      <x:c r="K32" s="6" t="s">
        <x:v>742</x:v>
      </x:c>
      <x:c r="L32" s="6" t="s">
        <x:v>743</x:v>
      </x:c>
      <x:c r="M32" s="6" t="s">
        <x:v>744</x:v>
      </x:c>
      <x:c r="N32" s="91" t="s">
        <x:v>745</x:v>
      </x:c>
      <x:c r="O32" s="6" t="s">
        <x:v>746</x:v>
      </x:c>
      <x:c r="P32" s="6" t="s">
        <x:v>716</x:v>
      </x:c>
      <x:c r="Q32" s="6"/>
      <x:c r="R32" s="6"/>
      <x:c r="S32" s="6"/>
      <x:c r="T32" s="6"/>
      <x:c r="U32" s="6"/>
      <x:c r="V32" s="6"/>
      <x:c r="W32" s="6" t="s">
        <x:v>60</x:v>
      </x:c>
      <x:c r="X32" s="6"/>
      <x:c r="Y32" s="6"/>
      <x:c r="Z32" s="6"/>
      <x:c r="AA32" s="6"/>
      <x:c r="AB32" s="63" t="s">
        <x:v>523</x:v>
      </x:c>
      <x:c r="AC32" s="35">
        <x:v>87.5</x:v>
      </x:c>
      <x:c r="AD32" s="36">
        <x:v>50</x:v>
      </x:c>
      <x:c r="AE32" s="35">
        <x:v>75</x:v>
      </x:c>
      <x:c r="AF32" s="33">
        <x:f t="shared" si="0"/>
        <x:v>70.833333333333329</x:v>
      </x:c>
      <x:c r="AG32" s="6" t="s">
        <x:v>76</x:v>
      </x:c>
      <x:c r="AH32" s="58"/>
      <x:c r="AI32" s="58"/>
      <x:c r="AJ32" s="58"/>
      <x:c r="AK32" s="58"/>
      <x:c r="AL32" s="58"/>
      <x:c r="AM32" s="58"/>
      <x:c r="AN32" s="123"/>
      <x:c r="AO32" s="105"/>
    </x:row>
    <x:row r="33" ht="186.60000610351562" hidden="1" customHeight="1">
      <x:c r="A33" s="114">
        <x:v>32</x:v>
      </x:c>
      <x:c r="B33" s="6" t="s">
        <x:v>747</x:v>
      </x:c>
      <x:c r="C33" s="6"/>
      <x:c r="D33" s="6">
        <x:v>2024</x:v>
      </x:c>
      <x:c r="E33" s="6" t="s">
        <x:v>748</x:v>
      </x:c>
      <x:c r="F33" s="6" t="s">
        <x:v>50</x:v>
      </x:c>
      <x:c r="G33" s="6"/>
      <x:c r="H33" s="6"/>
      <x:c r="I33" s="6" t="s">
        <x:v>496</x:v>
      </x:c>
      <x:c r="J33" s="6" t="s">
        <x:v>397</x:v>
      </x:c>
      <x:c r="K33" s="6" t="s">
        <x:v>749</x:v>
      </x:c>
      <x:c r="L33" s="6" t="s">
        <x:v>750</x:v>
      </x:c>
      <x:c r="M33" s="6" t="s">
        <x:v>751</x:v>
      </x:c>
      <x:c r="N33" s="91" t="s">
        <x:v>752</x:v>
      </x:c>
      <x:c r="O33" s="6" t="s">
        <x:v>753</x:v>
      </x:c>
      <x:c r="P33" s="6" t="s">
        <x:v>754</x:v>
      </x:c>
      <x:c r="Q33" s="6"/>
      <x:c r="R33" s="6"/>
      <x:c r="S33" s="6" t="s">
        <x:v>60</x:v>
      </x:c>
      <x:c r="T33" s="6"/>
      <x:c r="U33" s="6"/>
      <x:c r="V33" s="6"/>
      <x:c r="W33" s="6"/>
      <x:c r="X33" s="6"/>
      <x:c r="Y33" s="6"/>
      <x:c r="Z33" s="6"/>
      <x:c r="AA33" s="6"/>
      <x:c r="AB33" s="65" t="s">
        <x:v>24</x:v>
      </x:c>
      <x:c r="AC33" s="35">
        <x:v>75</x:v>
      </x:c>
      <x:c r="AD33" s="36">
        <x:v>66.7</x:v>
      </x:c>
      <x:c r="AE33" s="35">
        <x:v>75</x:v>
      </x:c>
      <x:c r="AF33" s="33">
        <x:f t="shared" si="0"/>
        <x:v>72.233333333333334</x:v>
      </x:c>
      <x:c r="AG33" s="6" t="s">
        <x:v>50</x:v>
      </x:c>
      <x:c r="AH33" s="58"/>
      <x:c r="AI33" s="58"/>
      <x:c r="AJ33" s="58"/>
      <x:c r="AK33" s="58"/>
      <x:c r="AL33" s="58"/>
      <x:c r="AM33" s="58"/>
      <x:c r="AN33" s="58"/>
      <x:c r="AO33" s="105"/>
    </x:row>
    <x:row r="34" ht="138" hidden="1" customHeight="1">
      <x:c r="A34" s="114">
        <x:v>33</x:v>
      </x:c>
      <x:c r="B34" s="6" t="s">
        <x:v>755</x:v>
      </x:c>
      <x:c r="C34" s="6"/>
      <x:c r="D34" s="6">
        <x:v>2023</x:v>
      </x:c>
      <x:c r="E34" s="6" t="s">
        <x:v>756</x:v>
      </x:c>
      <x:c r="F34" s="6" t="s">
        <x:v>50</x:v>
      </x:c>
      <x:c r="G34" s="6"/>
      <x:c r="H34" s="6"/>
      <x:c r="I34" s="6" t="s">
        <x:v>653</x:v>
      </x:c>
      <x:c r="J34" s="6"/>
      <x:c r="K34" s="6" t="s">
        <x:v>757</x:v>
      </x:c>
      <x:c r="L34" s="6" t="s">
        <x:v>758</x:v>
      </x:c>
      <x:c r="M34" s="6" t="s">
        <x:v>759</x:v>
      </x:c>
      <x:c r="N34" s="91" t="s">
        <x:v>760</x:v>
      </x:c>
      <x:c r="O34" s="6" t="s">
        <x:v>761</x:v>
      </x:c>
      <x:c r="P34" s="6" t="s">
        <x:v>762</x:v>
      </x:c>
      <x:c r="Q34" s="6"/>
      <x:c r="R34" s="6"/>
      <x:c r="S34" s="6" t="s">
        <x:v>60</x:v>
      </x:c>
      <x:c r="T34" s="6"/>
      <x:c r="U34" s="6"/>
      <x:c r="V34" s="6"/>
      <x:c r="W34" s="6"/>
      <x:c r="X34" s="6"/>
      <x:c r="Y34" s="6"/>
      <x:c r="Z34" s="6"/>
      <x:c r="AA34" s="6"/>
      <x:c r="AB34" s="65" t="s">
        <x:v>24</x:v>
      </x:c>
      <x:c r="AC34" s="36">
        <x:v>62.5</x:v>
      </x:c>
      <x:c r="AD34" s="36">
        <x:v>41.7</x:v>
      </x:c>
      <x:c r="AE34" s="36">
        <x:v>62.5</x:v>
      </x:c>
      <x:c r="AF34" s="33">
        <x:f t="shared" si="0"/>
        <x:v>55.566666666666663</x:v>
      </x:c>
      <x:c r="AG34" s="6" t="s">
        <x:v>50</x:v>
      </x:c>
      <x:c r="AH34" s="58"/>
      <x:c r="AI34" s="58"/>
      <x:c r="AJ34" s="58"/>
      <x:c r="AK34" s="58"/>
      <x:c r="AL34" s="58"/>
      <x:c r="AM34" s="58"/>
      <x:c r="AN34" s="58" t="s">
        <x:v>763</x:v>
      </x:c>
      <x:c r="AO34" s="105"/>
    </x:row>
    <x:row r="35" ht="153" hidden="1" customHeight="1">
      <x:c r="A35" s="114">
        <x:v>34</x:v>
      </x:c>
      <x:c r="B35" s="86" t="s">
        <x:v>764</x:v>
      </x:c>
      <x:c r="C35" s="86"/>
      <x:c r="D35" s="86">
        <x:v>2019</x:v>
      </x:c>
      <x:c r="E35" s="118" t="s">
        <x:v>765</x:v>
      </x:c>
      <x:c r="F35" s="6" t="s">
        <x:v>50</x:v>
      </x:c>
      <x:c r="G35" s="6" t="s">
        <x:v>51</x:v>
      </x:c>
      <x:c r="H35" s="6"/>
      <x:c r="I35" s="6" t="s">
        <x:v>476</x:v>
      </x:c>
      <x:c r="J35" s="6" t="s">
        <x:v>66</x:v>
      </x:c>
      <x:c r="K35" s="6" t="s">
        <x:v>766</x:v>
      </x:c>
      <x:c r="L35" s="6" t="s">
        <x:v>767</x:v>
      </x:c>
      <x:c r="M35" s="6" t="s">
        <x:v>768</x:v>
      </x:c>
      <x:c r="N35" s="91" t="s">
        <x:v>769</x:v>
      </x:c>
      <x:c r="O35" s="6" t="s">
        <x:v>770</x:v>
      </x:c>
      <x:c r="P35" s="6" t="s">
        <x:v>771</x:v>
      </x:c>
      <x:c r="Q35" s="6"/>
      <x:c r="R35" s="6"/>
      <x:c r="S35" s="6" t="s">
        <x:v>60</x:v>
      </x:c>
      <x:c r="T35" s="6"/>
      <x:c r="U35" s="6"/>
      <x:c r="V35" s="6"/>
      <x:c r="W35" s="6"/>
      <x:c r="X35" s="6"/>
      <x:c r="Y35" s="6"/>
      <x:c r="Z35" s="6"/>
      <x:c r="AA35" s="6"/>
      <x:c r="AB35" s="65" t="s">
        <x:v>24</x:v>
      </x:c>
      <x:c r="AC35" s="36">
        <x:v>62.5</x:v>
      </x:c>
      <x:c r="AD35" s="36">
        <x:v>50</x:v>
      </x:c>
      <x:c r="AE35" s="36">
        <x:v>62.5</x:v>
      </x:c>
      <x:c r="AF35" s="33">
        <x:f t="shared" si="0"/>
        <x:v>58.333333333333336</x:v>
      </x:c>
      <x:c r="AG35" s="6" t="s">
        <x:v>50</x:v>
      </x:c>
      <x:c r="AH35" s="58"/>
      <x:c r="AI35" s="58"/>
      <x:c r="AJ35" s="58"/>
      <x:c r="AK35" s="58"/>
      <x:c r="AL35" s="58"/>
      <x:c r="AM35" s="58"/>
      <x:c r="AN35" s="122" t="s">
        <x:v>772</x:v>
      </x:c>
      <x:c r="AO35" s="107" t="s">
        <x:v>773</x:v>
      </x:c>
    </x:row>
    <x:row r="36" ht="153.60000610351562" hidden="1" customHeight="1">
      <x:c r="A36" s="116">
        <x:v>35</x:v>
      </x:c>
      <x:c r="B36" s="86" t="s">
        <x:v>774</x:v>
      </x:c>
      <x:c r="C36" s="86"/>
      <x:c r="D36" s="86">
        <x:v>2022</x:v>
      </x:c>
      <x:c r="E36" s="118" t="s">
        <x:v>775</x:v>
      </x:c>
      <x:c r="F36" s="86" t="s">
        <x:v>50</x:v>
      </x:c>
      <x:c r="G36" s="86"/>
      <x:c r="H36" s="86"/>
      <x:c r="I36" s="6" t="s">
        <x:v>476</x:v>
      </x:c>
      <x:c r="J36" s="86" t="s">
        <x:v>66</x:v>
      </x:c>
      <x:c r="K36" s="86" t="s">
        <x:v>776</x:v>
      </x:c>
      <x:c r="L36" s="86" t="s">
        <x:v>767</x:v>
      </x:c>
      <x:c r="M36" s="86" t="s">
        <x:v>777</x:v>
      </x:c>
      <x:c r="N36" s="92" t="s">
        <x:v>778</x:v>
      </x:c>
      <x:c r="O36" s="86" t="s">
        <x:v>779</x:v>
      </x:c>
      <x:c r="P36" s="86" t="s">
        <x:v>780</x:v>
      </x:c>
      <x:c r="Q36" s="86"/>
      <x:c r="R36" s="86"/>
      <x:c r="S36" s="86" t="s">
        <x:v>60</x:v>
      </x:c>
      <x:c r="T36" s="86"/>
      <x:c r="U36" s="86"/>
      <x:c r="V36" s="86"/>
      <x:c r="W36" s="86"/>
      <x:c r="X36" s="86"/>
      <x:c r="Y36" s="86"/>
      <x:c r="Z36" s="86"/>
      <x:c r="AA36" s="86"/>
      <x:c r="AB36" s="97" t="s">
        <x:v>24</x:v>
      </x:c>
      <x:c r="AC36" s="100">
        <x:v>62.5</x:v>
      </x:c>
      <x:c r="AD36" s="100">
        <x:v>50</x:v>
      </x:c>
      <x:c r="AE36" s="100">
        <x:v>62.5</x:v>
      </x:c>
      <x:c r="AF36" s="128">
        <x:f t="shared" si="0"/>
        <x:v>58.333333333333336</x:v>
      </x:c>
      <x:c r="AG36" s="86" t="s">
        <x:v>50</x:v>
      </x:c>
      <x:c r="AH36" s="122"/>
      <x:c r="AI36" s="122"/>
      <x:c r="AJ36" s="122"/>
      <x:c r="AK36" s="122"/>
      <x:c r="AL36" s="122"/>
      <x:c r="AM36" s="122"/>
      <x:c r="AN36" s="123"/>
      <x:c r="AO36" s="132"/>
    </x:row>
    <x:row r="37" ht="153.60000610351562" hidden="1" customHeight="1">
      <x:c r="A37" s="73">
        <x:v>36.1</x:v>
      </x:c>
      <x:c r="B37" s="86" t="s">
        <x:v>781</x:v>
      </x:c>
      <x:c r="C37" s="86">
        <x:v>2024</x:v>
      </x:c>
      <x:c r="D37" s="86">
        <x:v>2025</x:v>
      </x:c>
      <x:c r="E37" s="138" t="s">
        <x:v>782</x:v>
      </x:c>
      <x:c r="F37" s="86" t="s">
        <x:v>111</x:v>
      </x:c>
      <x:c r="G37" s="86"/>
      <x:c r="H37" s="86"/>
      <x:c r="I37" s="86" t="s">
        <x:v>487</x:v>
      </x:c>
      <x:c r="J37" s="86" t="s">
        <x:v>335</x:v>
      </x:c>
      <x:c r="K37" s="86" t="s">
        <x:v>783</x:v>
      </x:c>
      <x:c r="L37" s="86"/>
      <x:c r="M37" s="86"/>
      <x:c r="N37" s="92"/>
      <x:c r="O37" s="86"/>
      <x:c r="P37" s="86"/>
      <x:c r="Q37" s="86"/>
      <x:c r="R37" s="86"/>
      <x:c r="S37" s="86"/>
      <x:c r="T37" s="86"/>
      <x:c r="U37" s="86"/>
      <x:c r="V37" s="86"/>
      <x:c r="W37" s="86"/>
      <x:c r="X37" s="86"/>
      <x:c r="Y37" s="86"/>
      <x:c r="Z37" s="86"/>
      <x:c r="AA37" s="86"/>
      <x:c r="AB37" s="97"/>
      <x:c r="AC37" s="100"/>
      <x:c r="AD37" s="100"/>
      <x:c r="AE37" s="100"/>
      <x:c r="AF37" s="128"/>
      <x:c r="AG37" s="86"/>
      <x:c r="AH37" s="122"/>
      <x:c r="AI37" s="122"/>
      <x:c r="AJ37" s="122"/>
      <x:c r="AK37" s="122"/>
      <x:c r="AL37" s="122"/>
      <x:c r="AM37" s="122"/>
      <x:c r="AN37" s="122"/>
      <x:c r="AO37" s="107"/>
    </x:row>
    <x:row r="38" ht="153.60000610351562" hidden="1" customHeight="1">
      <x:c r="A38" s="73">
        <x:v>36.200000000000003</x:v>
      </x:c>
      <x:c r="B38" s="86" t="s">
        <x:v>784</x:v>
      </x:c>
      <x:c r="C38" s="86">
        <x:v>2024</x:v>
      </x:c>
      <x:c r="D38" s="86">
        <x:v>2025</x:v>
      </x:c>
      <x:c r="E38" s="138" t="s">
        <x:v>785</x:v>
      </x:c>
      <x:c r="F38" s="86" t="s">
        <x:v>111</x:v>
      </x:c>
      <x:c r="G38" s="86"/>
      <x:c r="H38" s="86"/>
      <x:c r="I38" s="86" t="s">
        <x:v>487</x:v>
      </x:c>
      <x:c r="J38" s="86" t="s">
        <x:v>335</x:v>
      </x:c>
      <x:c r="K38" s="86"/>
      <x:c r="L38" s="86"/>
      <x:c r="M38" s="86"/>
      <x:c r="N38" s="92"/>
      <x:c r="O38" s="86"/>
      <x:c r="P38" s="86"/>
      <x:c r="Q38" s="86"/>
      <x:c r="R38" s="86"/>
      <x:c r="S38" s="86"/>
      <x:c r="T38" s="86"/>
      <x:c r="U38" s="86"/>
      <x:c r="V38" s="86"/>
      <x:c r="W38" s="86"/>
      <x:c r="X38" s="86"/>
      <x:c r="Y38" s="86"/>
      <x:c r="Z38" s="86"/>
      <x:c r="AA38" s="86"/>
      <x:c r="AB38" s="97"/>
      <x:c r="AC38" s="100"/>
      <x:c r="AD38" s="100"/>
      <x:c r="AE38" s="100"/>
      <x:c r="AF38" s="128"/>
      <x:c r="AG38" s="86"/>
      <x:c r="AH38" s="122"/>
      <x:c r="AI38" s="122"/>
      <x:c r="AJ38" s="122"/>
      <x:c r="AK38" s="122"/>
      <x:c r="AL38" s="122"/>
      <x:c r="AM38" s="122"/>
      <x:c r="AN38" s="122"/>
      <x:c r="AO38" s="107"/>
    </x:row>
    <x:row r="39" ht="153.60000610351562" hidden="1" customHeight="1">
      <x:c r="A39" s="73">
        <x:v>36.299999999999997</x:v>
      </x:c>
      <x:c r="B39" s="86" t="s">
        <x:v>786</x:v>
      </x:c>
      <x:c r="C39" s="86">
        <x:v>2024</x:v>
      </x:c>
      <x:c r="D39" s="86">
        <x:v>2025</x:v>
      </x:c>
      <x:c r="E39" s="138" t="s">
        <x:v>787</x:v>
      </x:c>
      <x:c r="F39" s="86" t="s">
        <x:v>111</x:v>
      </x:c>
      <x:c r="G39" s="86"/>
      <x:c r="H39" s="86"/>
      <x:c r="I39" s="86" t="s">
        <x:v>487</x:v>
      </x:c>
      <x:c r="J39" s="86" t="s">
        <x:v>335</x:v>
      </x:c>
      <x:c r="K39" s="86"/>
      <x:c r="L39" s="86"/>
      <x:c r="M39" s="86"/>
      <x:c r="N39" s="92"/>
      <x:c r="O39" s="86"/>
      <x:c r="P39" s="86"/>
      <x:c r="Q39" s="86"/>
      <x:c r="R39" s="86"/>
      <x:c r="S39" s="86"/>
      <x:c r="T39" s="86"/>
      <x:c r="U39" s="86"/>
      <x:c r="V39" s="86"/>
      <x:c r="W39" s="86"/>
      <x:c r="X39" s="86"/>
      <x:c r="Y39" s="86"/>
      <x:c r="Z39" s="86"/>
      <x:c r="AA39" s="86"/>
      <x:c r="AB39" s="97"/>
      <x:c r="AC39" s="100"/>
      <x:c r="AD39" s="100"/>
      <x:c r="AE39" s="100"/>
      <x:c r="AF39" s="128"/>
      <x:c r="AG39" s="86"/>
      <x:c r="AH39" s="122"/>
      <x:c r="AI39" s="122"/>
      <x:c r="AJ39" s="122"/>
      <x:c r="AK39" s="122"/>
      <x:c r="AL39" s="122"/>
      <x:c r="AM39" s="122"/>
      <x:c r="AN39" s="122"/>
      <x:c r="AO39" s="107"/>
    </x:row>
    <x:row r="40" ht="153.60000610351562" hidden="1" customHeight="1">
      <x:c r="A40" s="73">
        <x:v>36.4</x:v>
      </x:c>
      <x:c r="B40" s="86" t="s">
        <x:v>788</x:v>
      </x:c>
      <x:c r="C40" s="86">
        <x:v>2024</x:v>
      </x:c>
      <x:c r="D40" s="86">
        <x:v>2025</x:v>
      </x:c>
      <x:c r="E40" s="138" t="s">
        <x:v>789</x:v>
      </x:c>
      <x:c r="F40" s="86" t="s">
        <x:v>111</x:v>
      </x:c>
      <x:c r="G40" s="86"/>
      <x:c r="H40" s="86"/>
      <x:c r="I40" s="86" t="s">
        <x:v>487</x:v>
      </x:c>
      <x:c r="J40" s="86" t="s">
        <x:v>335</x:v>
      </x:c>
      <x:c r="K40" s="86"/>
      <x:c r="L40" s="86"/>
      <x:c r="M40" s="86"/>
      <x:c r="N40" s="92"/>
      <x:c r="O40" s="86"/>
      <x:c r="P40" s="86"/>
      <x:c r="Q40" s="86"/>
      <x:c r="R40" s="86"/>
      <x:c r="S40" s="86"/>
      <x:c r="T40" s="86"/>
      <x:c r="U40" s="86"/>
      <x:c r="V40" s="86"/>
      <x:c r="W40" s="86"/>
      <x:c r="X40" s="86"/>
      <x:c r="Y40" s="86"/>
      <x:c r="Z40" s="86"/>
      <x:c r="AA40" s="86"/>
      <x:c r="AB40" s="97"/>
      <x:c r="AC40" s="100"/>
      <x:c r="AD40" s="100"/>
      <x:c r="AE40" s="100"/>
      <x:c r="AF40" s="128"/>
      <x:c r="AG40" s="86"/>
      <x:c r="AH40" s="122"/>
      <x:c r="AI40" s="122"/>
      <x:c r="AJ40" s="122"/>
      <x:c r="AK40" s="122"/>
      <x:c r="AL40" s="122"/>
      <x:c r="AM40" s="122"/>
      <x:c r="AN40" s="122"/>
      <x:c r="AO40" s="107"/>
    </x:row>
    <x:row r="41" ht="153.60000610351562" hidden="1" customHeight="1">
      <x:c r="A41" s="73">
        <x:v>36.5</x:v>
      </x:c>
      <x:c r="B41" s="86" t="s">
        <x:v>790</x:v>
      </x:c>
      <x:c r="C41" s="86">
        <x:v>2024</x:v>
      </x:c>
      <x:c r="D41" s="86">
        <x:v>2025</x:v>
      </x:c>
      <x:c r="E41" s="138" t="s">
        <x:v>791</x:v>
      </x:c>
      <x:c r="F41" s="86" t="s">
        <x:v>111</x:v>
      </x:c>
      <x:c r="G41" s="86"/>
      <x:c r="H41" s="86"/>
      <x:c r="I41" s="86" t="s">
        <x:v>487</x:v>
      </x:c>
      <x:c r="J41" s="86" t="s">
        <x:v>335</x:v>
      </x:c>
      <x:c r="K41" s="86"/>
      <x:c r="L41" s="86"/>
      <x:c r="M41" s="86"/>
      <x:c r="N41" s="92"/>
      <x:c r="O41" s="86"/>
      <x:c r="P41" s="86"/>
      <x:c r="Q41" s="86"/>
      <x:c r="R41" s="86"/>
      <x:c r="S41" s="86"/>
      <x:c r="T41" s="86"/>
      <x:c r="U41" s="86"/>
      <x:c r="V41" s="86"/>
      <x:c r="W41" s="86"/>
      <x:c r="X41" s="86"/>
      <x:c r="Y41" s="86"/>
      <x:c r="Z41" s="86"/>
      <x:c r="AA41" s="86"/>
      <x:c r="AB41" s="97"/>
      <x:c r="AC41" s="100"/>
      <x:c r="AD41" s="100"/>
      <x:c r="AE41" s="100"/>
      <x:c r="AF41" s="128"/>
      <x:c r="AG41" s="86"/>
      <x:c r="AH41" s="122"/>
      <x:c r="AI41" s="122"/>
      <x:c r="AJ41" s="122"/>
      <x:c r="AK41" s="122"/>
      <x:c r="AL41" s="122"/>
      <x:c r="AM41" s="122"/>
      <x:c r="AN41" s="122"/>
      <x:c r="AO41" s="107"/>
    </x:row>
    <x:row r="42" ht="153.60000610351562" hidden="1" customHeight="1">
      <x:c r="A42" s="73">
        <x:v>36.6</x:v>
      </x:c>
      <x:c r="B42" s="86" t="s">
        <x:v>792</x:v>
      </x:c>
      <x:c r="C42" s="86">
        <x:v>2024</x:v>
      </x:c>
      <x:c r="D42" s="86">
        <x:v>2025</x:v>
      </x:c>
      <x:c r="E42" s="138" t="s">
        <x:v>793</x:v>
      </x:c>
      <x:c r="F42" s="86" t="s">
        <x:v>111</x:v>
      </x:c>
      <x:c r="G42" s="86"/>
      <x:c r="H42" s="86"/>
      <x:c r="I42" s="86" t="s">
        <x:v>487</x:v>
      </x:c>
      <x:c r="J42" s="86" t="s">
        <x:v>335</x:v>
      </x:c>
      <x:c r="K42" s="86"/>
      <x:c r="L42" s="86"/>
      <x:c r="M42" s="86"/>
      <x:c r="N42" s="92"/>
      <x:c r="O42" s="86"/>
      <x:c r="P42" s="86"/>
      <x:c r="Q42" s="86"/>
      <x:c r="R42" s="86"/>
      <x:c r="S42" s="86"/>
      <x:c r="T42" s="86"/>
      <x:c r="U42" s="86"/>
      <x:c r="V42" s="86"/>
      <x:c r="W42" s="86"/>
      <x:c r="X42" s="86"/>
      <x:c r="Y42" s="86"/>
      <x:c r="Z42" s="86"/>
      <x:c r="AA42" s="86"/>
      <x:c r="AB42" s="97"/>
      <x:c r="AC42" s="100"/>
      <x:c r="AD42" s="100"/>
      <x:c r="AE42" s="100"/>
      <x:c r="AF42" s="128"/>
      <x:c r="AG42" s="86"/>
      <x:c r="AH42" s="122"/>
      <x:c r="AI42" s="122"/>
      <x:c r="AJ42" s="122"/>
      <x:c r="AK42" s="122"/>
      <x:c r="AL42" s="122"/>
      <x:c r="AM42" s="122"/>
      <x:c r="AN42" s="122"/>
      <x:c r="AO42" s="107"/>
    </x:row>
    <x:row r="43" ht="153.60000610351562" hidden="1" customHeight="1">
      <x:c r="A43" s="73">
        <x:v>36.700000000000003</x:v>
      </x:c>
      <x:c r="B43" s="86" t="s">
        <x:v>794</x:v>
      </x:c>
      <x:c r="C43" s="86">
        <x:v>2024</x:v>
      </x:c>
      <x:c r="D43" s="86">
        <x:v>2025</x:v>
      </x:c>
      <x:c r="E43" s="138" t="s">
        <x:v>795</x:v>
      </x:c>
      <x:c r="F43" s="86" t="s">
        <x:v>111</x:v>
      </x:c>
      <x:c r="G43" s="86"/>
      <x:c r="H43" s="86"/>
      <x:c r="I43" s="86" t="s">
        <x:v>487</x:v>
      </x:c>
      <x:c r="J43" s="86" t="s">
        <x:v>335</x:v>
      </x:c>
      <x:c r="K43" s="86"/>
      <x:c r="L43" s="86"/>
      <x:c r="M43" s="86"/>
      <x:c r="N43" s="92"/>
      <x:c r="O43" s="86"/>
      <x:c r="P43" s="86"/>
      <x:c r="Q43" s="86"/>
      <x:c r="R43" s="86"/>
      <x:c r="S43" s="86"/>
      <x:c r="T43" s="86"/>
      <x:c r="U43" s="86"/>
      <x:c r="V43" s="86"/>
      <x:c r="W43" s="86"/>
      <x:c r="X43" s="86"/>
      <x:c r="Y43" s="86"/>
      <x:c r="Z43" s="86"/>
      <x:c r="AA43" s="86"/>
      <x:c r="AB43" s="97"/>
      <x:c r="AC43" s="100"/>
      <x:c r="AD43" s="100"/>
      <x:c r="AE43" s="100"/>
      <x:c r="AF43" s="128"/>
      <x:c r="AG43" s="86"/>
      <x:c r="AH43" s="122"/>
      <x:c r="AI43" s="122"/>
      <x:c r="AJ43" s="122"/>
      <x:c r="AK43" s="122"/>
      <x:c r="AL43" s="122"/>
      <x:c r="AM43" s="122"/>
      <x:c r="AN43" s="122"/>
      <x:c r="AO43" s="107"/>
    </x:row>
    <x:row r="44" s="4" customFormat="1" ht="115.19999694824219" hidden="1">
      <x:c r="A44" s="76">
        <x:v>37</x:v>
      </x:c>
      <x:c r="B44" s="86" t="s">
        <x:v>796</x:v>
      </x:c>
      <x:c r="C44" s="86">
        <x:v>2024</x:v>
      </x:c>
      <x:c r="D44" s="86">
        <x:v>2025</x:v>
      </x:c>
      <x:c r="E44" s="118" t="s">
        <x:v>797</x:v>
      </x:c>
      <x:c r="F44" s="86" t="s">
        <x:v>177</x:v>
      </x:c>
      <x:c r="G44" s="86"/>
      <x:c r="H44" s="86" t="s">
        <x:v>798</x:v>
      </x:c>
      <x:c r="I44" s="86" t="s">
        <x:v>114</x:v>
      </x:c>
      <x:c r="J44" s="86" t="s">
        <x:v>335</x:v>
      </x:c>
      <x:c r="K44" s="86" t="s">
        <x:v>799</x:v>
      </x:c>
      <x:c r="L44" s="86"/>
      <x:c r="M44" s="86" t="s">
        <x:v>800</x:v>
      </x:c>
      <x:c r="N44" s="86"/>
      <x:c r="O44" s="86"/>
      <x:c r="P44" s="86"/>
      <x:c r="Q44" s="86"/>
      <x:c r="R44" s="86"/>
      <x:c r="S44" s="86"/>
      <x:c r="T44" s="86"/>
      <x:c r="U44" s="86"/>
      <x:c r="V44" s="86"/>
      <x:c r="W44" s="86"/>
      <x:c r="X44" s="86"/>
      <x:c r="Y44" s="86"/>
      <x:c r="Z44" s="86"/>
      <x:c r="AA44" s="86"/>
      <x:c r="AB44" s="97"/>
      <x:c r="AC44" s="100"/>
      <x:c r="AD44" s="100"/>
      <x:c r="AE44" s="100"/>
      <x:c r="AF44" s="128"/>
      <x:c r="AG44" s="86"/>
      <x:c r="AH44" s="122"/>
      <x:c r="AI44" s="122"/>
      <x:c r="AJ44" s="122"/>
      <x:c r="AK44" s="122"/>
      <x:c r="AL44" s="122"/>
      <x:c r="AM44" s="122"/>
      <x:c r="AN44" s="122"/>
      <x:c r="AO44" s="107"/>
    </x:row>
    <x:row r="45" ht="153.60000610351562" hidden="1" customHeight="1">
      <x:c r="A45" s="116">
        <x:v>38</x:v>
      </x:c>
      <x:c r="B45" s="86" t="s">
        <x:v>801</x:v>
      </x:c>
      <x:c r="C45" s="86">
        <x:v>2025</x:v>
      </x:c>
      <x:c r="D45" s="86"/>
      <x:c r="E45" s="175" t="s">
        <x:v>802</x:v>
      </x:c>
      <x:c r="F45" s="86" t="s">
        <x:v>803</x:v>
      </x:c>
      <x:c r="G45" s="86" t="s">
        <x:v>804</x:v>
      </x:c>
      <x:c r="H45" s="86" t="s">
        <x:v>805</x:v>
      </x:c>
      <x:c r="I45" s="86" t="s">
        <x:v>66</x:v>
      </x:c>
      <x:c r="J45" s="86" t="s">
        <x:v>66</x:v>
      </x:c>
      <x:c r="K45" s="86"/>
      <x:c r="L45" s="86"/>
      <x:c r="M45" s="86"/>
      <x:c r="N45" s="92"/>
      <x:c r="O45" s="86"/>
      <x:c r="P45" s="86"/>
      <x:c r="Q45" s="86"/>
      <x:c r="R45" s="86" t="s">
        <x:v>60</x:v>
      </x:c>
      <x:c r="S45" s="86"/>
      <x:c r="T45" s="86"/>
      <x:c r="U45" s="86"/>
      <x:c r="V45" s="86"/>
      <x:c r="W45" s="86"/>
      <x:c r="X45" s="86"/>
      <x:c r="Y45" s="86"/>
      <x:c r="Z45" s="86"/>
      <x:c r="AA45" s="86"/>
      <x:c r="AB45" s="97"/>
      <x:c r="AC45" s="100"/>
      <x:c r="AD45" s="100"/>
      <x:c r="AE45" s="100"/>
      <x:c r="AF45" s="128"/>
      <x:c r="AG45" s="86"/>
      <x:c r="AH45" s="122"/>
      <x:c r="AI45" s="122"/>
      <x:c r="AJ45" s="122"/>
      <x:c r="AK45" s="122"/>
      <x:c r="AL45" s="122"/>
      <x:c r="AM45" s="122"/>
      <x:c r="AN45" s="122"/>
      <x:c r="AO45" s="107"/>
    </x:row>
    <x:row r="46" ht="153.60000610351562" hidden="1" customHeight="1">
      <x:c r="A46" s="116">
        <x:v>39</x:v>
      </x:c>
      <x:c r="B46" s="86" t="s">
        <x:v>806</x:v>
      </x:c>
      <x:c r="C46" s="86">
        <x:v>2025</x:v>
      </x:c>
      <x:c r="D46" s="86"/>
      <x:c r="E46" s="144" t="s">
        <x:v>807</x:v>
      </x:c>
      <x:c r="F46" s="86" t="s">
        <x:v>808</x:v>
      </x:c>
      <x:c r="G46" s="86" t="s">
        <x:v>178</x:v>
      </x:c>
      <x:c r="H46" s="86" t="s">
        <x:v>809</x:v>
      </x:c>
      <x:c r="I46" s="86" t="s">
        <x:v>66</x:v>
      </x:c>
      <x:c r="J46" s="86" t="s">
        <x:v>66</x:v>
      </x:c>
      <x:c r="K46" s="86"/>
      <x:c r="L46" s="86"/>
      <x:c r="M46" s="86"/>
      <x:c r="N46" s="92"/>
      <x:c r="O46" s="86"/>
      <x:c r="P46" s="86"/>
      <x:c r="Q46" s="86"/>
      <x:c r="R46" s="86"/>
      <x:c r="S46" s="86"/>
      <x:c r="T46" s="86"/>
      <x:c r="U46" s="86"/>
      <x:c r="V46" s="86"/>
      <x:c r="W46" s="86"/>
      <x:c r="X46" s="86"/>
      <x:c r="Y46" s="86"/>
      <x:c r="Z46" s="86"/>
      <x:c r="AA46" s="86"/>
      <x:c r="AB46" s="97"/>
      <x:c r="AC46" s="100"/>
      <x:c r="AD46" s="100"/>
      <x:c r="AE46" s="100"/>
      <x:c r="AF46" s="128"/>
      <x:c r="AG46" s="86"/>
      <x:c r="AH46" s="122"/>
      <x:c r="AI46" s="122"/>
      <x:c r="AJ46" s="122"/>
      <x:c r="AK46" s="122"/>
      <x:c r="AL46" s="122"/>
      <x:c r="AM46" s="122"/>
      <x:c r="AN46" s="122"/>
      <x:c r="AO46" s="107"/>
    </x:row>
    <x:row r="47" ht="172.8000030517578" hidden="1">
      <x:c r="A47" s="76">
        <x:v>40</x:v>
      </x:c>
      <x:c r="B47" s="86" t="s">
        <x:v>810</x:v>
      </x:c>
      <x:c r="C47" s="86">
        <x:v>2023</x:v>
      </x:c>
      <x:c r="D47" s="86">
        <x:v>2025</x:v>
      </x:c>
      <x:c r="E47" s="144" t="s">
        <x:v>811</x:v>
      </x:c>
      <x:c r="F47" s="86" t="s">
        <x:v>812</x:v>
      </x:c>
      <x:c r="G47" s="86"/>
      <x:c r="H47" s="86"/>
      <x:c r="I47" s="86" t="s">
        <x:v>114</x:v>
      </x:c>
      <x:c r="J47" s="86" t="s">
        <x:v>335</x:v>
      </x:c>
      <x:c r="K47" s="86" t="s">
        <x:v>813</x:v>
      </x:c>
      <x:c r="L47" s="86" t="s">
        <x:v>114</x:v>
      </x:c>
      <x:c r="M47" s="86"/>
      <x:c r="N47" s="92"/>
      <x:c r="O47" s="86"/>
      <x:c r="P47" s="86"/>
      <x:c r="Q47" s="86"/>
      <x:c r="R47" s="86" t="s">
        <x:v>60</x:v>
      </x:c>
      <x:c r="S47" s="86"/>
      <x:c r="T47" s="86"/>
      <x:c r="U47" s="86" t="s">
        <x:v>60</x:v>
      </x:c>
      <x:c r="V47" s="86"/>
      <x:c r="W47" s="86"/>
      <x:c r="X47" s="86"/>
      <x:c r="Y47" s="86"/>
      <x:c r="Z47" s="86"/>
      <x:c r="AA47" s="86"/>
      <x:c r="AB47" s="97"/>
      <x:c r="AC47" s="100"/>
      <x:c r="AD47" s="100"/>
      <x:c r="AE47" s="100"/>
      <x:c r="AF47" s="128"/>
      <x:c r="AG47" s="86"/>
      <x:c r="AH47" s="122"/>
      <x:c r="AI47" s="122"/>
      <x:c r="AJ47" s="122"/>
      <x:c r="AK47" s="122"/>
      <x:c r="AL47" s="122"/>
      <x:c r="AM47" s="122"/>
      <x:c r="AN47" s="122" t="s">
        <x:v>814</x:v>
      </x:c>
      <x:c r="AO47" s="107" t="s">
        <x:v>815</x:v>
      </x:c>
    </x:row>
    <x:row r="48" ht="128.39999389648438" hidden="1" customHeight="1">
      <x:c r="A48" s="116">
        <x:v>41</x:v>
      </x:c>
      <x:c r="B48" s="86" t="s">
        <x:v>816</x:v>
      </x:c>
      <x:c r="C48" s="86">
        <x:v>2025</x:v>
      </x:c>
      <x:c r="D48" s="86"/>
      <x:c r="E48" s="144" t="s">
        <x:v>817</x:v>
      </x:c>
      <x:c r="F48" s="86" t="s">
        <x:v>808</x:v>
      </x:c>
      <x:c r="G48" s="86" t="s">
        <x:v>51</x:v>
      </x:c>
      <x:c r="H48" s="86" t="s">
        <x:v>818</x:v>
      </x:c>
      <x:c r="I48" s="86" t="s">
        <x:v>293</x:v>
      </x:c>
      <x:c r="J48" s="86"/>
      <x:c r="K48" s="86" t="s">
        <x:v>819</x:v>
      </x:c>
      <x:c r="L48" s="86" t="s">
        <x:v>101</x:v>
      </x:c>
      <x:c r="M48" s="86" t="s">
        <x:v>820</x:v>
      </x:c>
      <x:c r="N48" s="92"/>
      <x:c r="O48" s="86"/>
      <x:c r="P48" s="86"/>
      <x:c r="Q48" s="86"/>
      <x:c r="R48" s="86"/>
      <x:c r="S48" s="86" t="s">
        <x:v>60</x:v>
      </x:c>
      <x:c r="T48" s="86"/>
      <x:c r="U48" s="86"/>
      <x:c r="V48" s="86"/>
      <x:c r="W48" s="86" t="s">
        <x:v>60</x:v>
      </x:c>
      <x:c r="X48" s="86"/>
      <x:c r="Y48" s="86"/>
      <x:c r="Z48" s="86"/>
      <x:c r="AA48" s="86"/>
      <x:c r="AB48" s="97"/>
      <x:c r="AC48" s="100"/>
      <x:c r="AD48" s="100"/>
      <x:c r="AE48" s="100"/>
      <x:c r="AF48" s="128"/>
      <x:c r="AG48" s="86"/>
      <x:c r="AH48" s="122"/>
      <x:c r="AI48" s="122"/>
      <x:c r="AJ48" s="122"/>
      <x:c r="AK48" s="122"/>
      <x:c r="AL48" s="122"/>
      <x:c r="AM48" s="122"/>
      <x:c r="AN48" s="122"/>
      <x:c r="AO48" s="107"/>
    </x:row>
    <x:row r="49" ht="115.19999694824219" hidden="1">
      <x:c r="A49" s="116">
        <x:v>42</x:v>
      </x:c>
      <x:c r="B49" s="86" t="s">
        <x:v>821</x:v>
      </x:c>
      <x:c r="C49" s="86">
        <x:v>2025</x:v>
      </x:c>
      <x:c r="D49" s="86">
        <x:v>2026</x:v>
      </x:c>
      <x:c r="E49" s="144" t="s">
        <x:v>822</x:v>
      </x:c>
      <x:c r="F49" s="86" t="s">
        <x:v>135</x:v>
      </x:c>
      <x:c r="G49" s="86" t="s">
        <x:v>51</x:v>
      </x:c>
      <x:c r="H49" s="86" t="s">
        <x:v>823</x:v>
      </x:c>
      <x:c r="I49" s="86" t="s">
        <x:v>824</x:v>
      </x:c>
      <x:c r="J49" s="86" t="s">
        <x:v>66</x:v>
      </x:c>
      <x:c r="K49" s="86" t="s">
        <x:v>825</x:v>
      </x:c>
      <x:c r="L49" s="86"/>
      <x:c r="M49" s="86"/>
      <x:c r="N49" s="92"/>
      <x:c r="O49" s="86"/>
      <x:c r="P49" s="86"/>
      <x:c r="Q49" s="86"/>
      <x:c r="R49" s="86"/>
      <x:c r="S49" s="86"/>
      <x:c r="T49" s="86"/>
      <x:c r="U49" s="86"/>
      <x:c r="V49" s="86"/>
      <x:c r="W49" s="86"/>
      <x:c r="X49" s="86"/>
      <x:c r="Y49" s="86"/>
      <x:c r="Z49" s="86"/>
      <x:c r="AA49" s="86"/>
      <x:c r="AB49" s="97"/>
      <x:c r="AC49" s="100"/>
      <x:c r="AD49" s="100"/>
      <x:c r="AE49" s="100"/>
      <x:c r="AF49" s="128"/>
      <x:c r="AG49" s="86"/>
      <x:c r="AH49" s="122"/>
      <x:c r="AI49" s="122"/>
      <x:c r="AJ49" s="122"/>
      <x:c r="AK49" s="122"/>
      <x:c r="AL49" s="122"/>
      <x:c r="AM49" s="122"/>
      <x:c r="AN49" s="122"/>
      <x:c r="AO49" s="107"/>
    </x:row>
    <x:row r="50" ht="79.19999694824219" hidden="1" customHeight="1">
      <x:c r="A50" s="116">
        <x:v>43</x:v>
      </x:c>
      <x:c r="B50" s="86" t="s">
        <x:v>826</x:v>
      </x:c>
      <x:c r="C50" s="86">
        <x:v>2025</x:v>
      </x:c>
      <x:c r="D50" s="86"/>
      <x:c r="E50" s="175" t="s">
        <x:v>827</x:v>
      </x:c>
      <x:c r="F50" s="86" t="s">
        <x:v>177</x:v>
      </x:c>
      <x:c r="G50" s="86" t="s">
        <x:v>178</x:v>
      </x:c>
      <x:c r="H50" s="86"/>
      <x:c r="I50" s="86" t="s">
        <x:v>66</x:v>
      </x:c>
      <x:c r="J50" s="86" t="s">
        <x:v>66</x:v>
      </x:c>
      <x:c r="K50" s="86"/>
      <x:c r="L50" s="86"/>
      <x:c r="M50" s="86"/>
      <x:c r="N50" s="92"/>
      <x:c r="O50" s="86"/>
      <x:c r="P50" s="86"/>
      <x:c r="Q50" s="86"/>
      <x:c r="R50" s="86"/>
      <x:c r="S50" s="86"/>
      <x:c r="T50" s="86"/>
      <x:c r="U50" s="86"/>
      <x:c r="V50" s="86"/>
      <x:c r="W50" s="86"/>
      <x:c r="X50" s="86"/>
      <x:c r="Y50" s="86"/>
      <x:c r="Z50" s="86"/>
      <x:c r="AA50" s="86"/>
      <x:c r="AB50" s="97"/>
      <x:c r="AC50" s="100"/>
      <x:c r="AD50" s="100"/>
      <x:c r="AE50" s="100"/>
      <x:c r="AF50" s="128"/>
      <x:c r="AG50" s="86"/>
      <x:c r="AH50" s="122"/>
      <x:c r="AI50" s="122"/>
      <x:c r="AJ50" s="122"/>
      <x:c r="AK50" s="122"/>
      <x:c r="AL50" s="122"/>
      <x:c r="AM50" s="122"/>
      <x:c r="AN50" s="122"/>
      <x:c r="AO50" s="107"/>
    </x:row>
    <x:row r="51" ht="79.19999694824219" hidden="1" customHeight="1">
      <x:c r="A51" s="116">
        <x:v>44</x:v>
      </x:c>
      <x:c r="B51" s="86" t="s">
        <x:v>828</x:v>
      </x:c>
      <x:c r="C51" s="86">
        <x:v>2025</x:v>
      </x:c>
      <x:c r="D51" s="86"/>
      <x:c r="E51" s="175" t="s">
        <x:v>829</x:v>
      </x:c>
      <x:c r="F51" s="86" t="s">
        <x:v>177</x:v>
      </x:c>
      <x:c r="G51" s="86" t="s">
        <x:v>178</x:v>
      </x:c>
      <x:c r="H51" s="86"/>
      <x:c r="I51" s="86" t="s">
        <x:v>293</x:v>
      </x:c>
      <x:c r="J51" s="86" t="s">
        <x:v>429</x:v>
      </x:c>
      <x:c r="K51" s="86" t="s">
        <x:v>830</x:v>
      </x:c>
      <x:c r="L51" s="86" t="s">
        <x:v>101</x:v>
      </x:c>
      <x:c r="M51" s="86"/>
      <x:c r="N51" s="92"/>
      <x:c r="O51" s="86"/>
      <x:c r="P51" s="86"/>
      <x:c r="Q51" s="86"/>
      <x:c r="R51" s="86"/>
      <x:c r="S51" s="86"/>
      <x:c r="T51" s="86"/>
      <x:c r="U51" s="86"/>
      <x:c r="V51" s="86"/>
      <x:c r="W51" s="86"/>
      <x:c r="X51" s="86"/>
      <x:c r="Y51" s="86"/>
      <x:c r="Z51" s="86"/>
      <x:c r="AA51" s="86"/>
      <x:c r="AB51" s="97"/>
      <x:c r="AC51" s="100"/>
      <x:c r="AD51" s="100"/>
      <x:c r="AE51" s="100"/>
      <x:c r="AF51" s="128"/>
      <x:c r="AG51" s="86"/>
      <x:c r="AH51" s="122"/>
      <x:c r="AI51" s="122"/>
      <x:c r="AJ51" s="122"/>
      <x:c r="AK51" s="122"/>
      <x:c r="AL51" s="122"/>
      <x:c r="AM51" s="122"/>
      <x:c r="AN51" s="122"/>
      <x:c r="AO51" s="107"/>
    </x:row>
    <x:row r="52" ht="94.19999694824219" hidden="1" customHeight="1">
      <x:c r="A52" s="73">
        <x:v>45</x:v>
      </x:c>
      <x:c r="B52" s="86" t="s">
        <x:v>831</x:v>
      </x:c>
      <x:c r="C52" s="86">
        <x:v>2025</x:v>
      </x:c>
      <x:c r="D52" s="86"/>
      <x:c r="E52" s="144" t="s">
        <x:v>832</x:v>
      </x:c>
      <x:c r="F52" s="86" t="s">
        <x:v>177</x:v>
      </x:c>
      <x:c r="G52" s="86" t="s">
        <x:v>833</x:v>
      </x:c>
      <x:c r="H52" s="86"/>
      <x:c r="I52" s="86"/>
      <x:c r="J52" s="86" t="s">
        <x:v>429</x:v>
      </x:c>
      <x:c r="K52" s="86" t="s">
        <x:v>834</x:v>
      </x:c>
      <x:c r="L52" s="86"/>
      <x:c r="M52" s="86" t="s">
        <x:v>835</x:v>
      </x:c>
      <x:c r="N52" s="92"/>
      <x:c r="O52" s="86"/>
      <x:c r="P52" s="86"/>
      <x:c r="Q52" s="86"/>
      <x:c r="R52" s="86"/>
      <x:c r="S52" s="86"/>
      <x:c r="T52" s="86"/>
      <x:c r="U52" s="86"/>
      <x:c r="V52" s="86"/>
      <x:c r="W52" s="86"/>
      <x:c r="X52" s="86"/>
      <x:c r="Y52" s="86"/>
      <x:c r="Z52" s="86"/>
      <x:c r="AA52" s="86"/>
      <x:c r="AB52" s="97"/>
      <x:c r="AC52" s="100"/>
      <x:c r="AD52" s="100"/>
      <x:c r="AE52" s="100"/>
      <x:c r="AF52" s="128"/>
      <x:c r="AG52" s="86"/>
      <x:c r="AH52" s="122"/>
      <x:c r="AI52" s="122"/>
      <x:c r="AJ52" s="122"/>
      <x:c r="AK52" s="122"/>
      <x:c r="AL52" s="122"/>
      <x:c r="AM52" s="122"/>
      <x:c r="AN52" s="122"/>
      <x:c r="AO52" s="107"/>
    </x:row>
    <x:row r="53" ht="79.19999694824219" hidden="1" customHeight="1">
      <x:c r="A53" s="116"/>
      <x:c r="B53" s="86" t="s">
        <x:v>836</x:v>
      </x:c>
      <x:c r="C53" s="86"/>
      <x:c r="D53" s="86"/>
      <x:c r="E53" s="144"/>
      <x:c r="F53" s="86"/>
      <x:c r="G53" s="86"/>
      <x:c r="H53" s="86"/>
      <x:c r="I53" s="86"/>
      <x:c r="J53" s="86"/>
      <x:c r="K53" s="86"/>
      <x:c r="L53" s="86"/>
      <x:c r="M53" s="86"/>
      <x:c r="N53" s="92"/>
      <x:c r="O53" s="86"/>
      <x:c r="P53" s="86"/>
      <x:c r="Q53" s="86"/>
      <x:c r="R53" s="86"/>
      <x:c r="S53" s="86"/>
      <x:c r="T53" s="86"/>
      <x:c r="U53" s="86"/>
      <x:c r="V53" s="86"/>
      <x:c r="W53" s="86"/>
      <x:c r="X53" s="86"/>
      <x:c r="Y53" s="86"/>
      <x:c r="Z53" s="86"/>
      <x:c r="AA53" s="86"/>
      <x:c r="AB53" s="97"/>
      <x:c r="AC53" s="100"/>
      <x:c r="AD53" s="100"/>
      <x:c r="AE53" s="100"/>
      <x:c r="AF53" s="128"/>
      <x:c r="AG53" s="86"/>
      <x:c r="AH53" s="122"/>
      <x:c r="AI53" s="122"/>
      <x:c r="AJ53" s="122"/>
      <x:c r="AK53" s="122"/>
      <x:c r="AL53" s="122"/>
      <x:c r="AM53" s="122"/>
      <x:c r="AN53" s="122"/>
      <x:c r="AO53" s="107"/>
    </x:row>
    <x:row r="54">
      <x:c r="A54" s="226"/>
      <x:c r="B54" s="2"/>
      <x:c r="C54" s="2"/>
      <x:c r="D54" s="2"/>
      <x:c r="E54" s="144"/>
      <x:c r="F54" s="2"/>
      <x:c r="G54" s="2"/>
      <x:c r="H54" s="2"/>
      <x:c r="I54" s="2"/>
      <x:c r="J54" s="2"/>
      <x:c r="K54" s="2"/>
      <x:c r="L54" s="2"/>
      <x:c r="M54" s="2"/>
      <x:c r="N54" s="2"/>
      <x:c r="O54" s="2"/>
      <x:c r="P54" s="87"/>
      <x:c r="Q54" s="87"/>
      <x:c r="R54" s="87"/>
      <x:c r="S54" s="87"/>
      <x:c r="T54" s="87"/>
      <x:c r="U54" s="87"/>
      <x:c r="V54" s="87"/>
      <x:c r="W54" s="87"/>
      <x:c r="X54" s="87"/>
      <x:c r="Y54" s="87"/>
      <x:c r="Z54" s="87"/>
      <x:c r="AA54" s="2"/>
      <x:c r="AB54" s="224"/>
      <x:c r="AC54" s="158"/>
      <x:c r="AD54" s="158"/>
      <x:c r="AE54" s="158"/>
      <x:c r="AF54" s="159"/>
      <x:c r="AG54" s="2"/>
      <x:c r="AH54" s="225"/>
      <x:c r="AI54" s="225"/>
      <x:c r="AJ54" s="225"/>
      <x:c r="AK54" s="225"/>
      <x:c r="AL54" s="126"/>
      <x:c r="AM54" s="126"/>
      <x:c r="AN54" s="225"/>
      <x:c r="AO54" s="225"/>
    </x:row>
    <x:row r="55" ht="34.20000076293945" customHeight="1">
      <x:c r="A55" s="235" t="s">
        <x:v>837</x:v>
      </x:c>
      <x:c r="B55" s="235"/>
      <x:c r="C55" s="18"/>
      <x:c r="P55" s="102" t="s">
        <x:v>452</x:v>
      </x:c>
      <x:c r="Q55" s="145" t="n">
        <x:f>COUNTIF(R2:R53, "X")</x:f>
        <x:v>5</x:v>
      </x:c>
      <x:c r="R55" s="102" t="n">
        <x:f t="shared" ref="R55:Z55" si="1">COUNTIF(S2:S36, "X")</x:f>
        <x:v>16</x:v>
      </x:c>
      <x:c r="S55" s="102">
        <x:f t="shared" si="1"/>
        <x:v>3</x:v>
      </x:c>
      <x:c r="T55" s="102">
        <x:f t="shared" si="1"/>
        <x:v>0</x:v>
      </x:c>
      <x:c r="U55" s="102">
        <x:f t="shared" si="1"/>
        <x:v>0</x:v>
      </x:c>
      <x:c r="V55" s="102">
        <x:f t="shared" si="1"/>
        <x:v>11</x:v>
      </x:c>
      <x:c r="W55" s="102">
        <x:f t="shared" si="1"/>
        <x:v>0</x:v>
      </x:c>
      <x:c r="X55" s="102">
        <x:f t="shared" si="1"/>
        <x:v>2</x:v>
      </x:c>
      <x:c r="Y55" s="102">
        <x:f t="shared" si="1"/>
        <x:v>0</x:v>
      </x:c>
      <x:c r="Z55" s="102">
        <x:f t="shared" si="1"/>
        <x:v>0</x:v>
      </x:c>
      <x:c r="AA55" s="12"/>
      <x:c r="AL55" s="90" t="s">
        <x:v>453</x:v>
      </x:c>
      <x:c r="AM55" s="129" t="n">
        <x:f>AN27+AN26+AN23+AN21+AN19+AN17</x:f>
        <x:v>12196.73</x:v>
      </x:c>
    </x:row>
    <x:row r="56" ht="14.399999618530273" customHeight="1">
      <x:c r="A56" s="39"/>
      <x:c r="B56" s="9" t="s">
        <x:v>23</x:v>
      </x:c>
      <x:c r="C56" s="9"/>
      <x:c r="P56" s="31" t="s">
        <x:v>455</x:v>
      </x:c>
      <x:c r="Q56" s="229" t="n">
        <x:f>SUM(Q55:Z55)</x:f>
        <x:v>37</x:v>
      </x:c>
      <x:c r="R56" s="230"/>
      <x:c r="S56" s="230"/>
      <x:c r="T56" s="230"/>
      <x:c r="U56" s="230"/>
      <x:c r="V56" s="230"/>
      <x:c r="W56" s="230"/>
      <x:c r="X56" s="230"/>
      <x:c r="Y56" s="230"/>
      <x:c r="Z56" s="231"/>
      <x:c r="AC56" s="232" t="s">
        <x:v>456</x:v>
      </x:c>
      <x:c r="AD56" s="233"/>
      <x:c r="AE56" s="234"/>
    </x:row>
    <x:row r="57">
      <x:c r="A57" s="40"/>
      <x:c r="B57" s="9" t="s">
        <x:v>24</x:v>
      </x:c>
      <x:c r="C57" s="9"/>
      <x:c r="F57" s="2"/>
      <x:c r="G57" s="2"/>
      <x:c r="H57" s="2"/>
      <x:c r="I57" s="2"/>
      <x:c r="J57" s="18"/>
      <x:c r="K57" s="2"/>
      <x:c r="L57" s="18"/>
      <x:c r="M57" s="18"/>
      <x:c r="N57" s="18"/>
      <x:c r="O57" s="2"/>
      <x:c r="P57" s="2"/>
      <x:c r="Q57" s="2"/>
      <x:c r="R57" s="2"/>
      <x:c r="S57" s="2"/>
      <x:c r="T57" s="2"/>
      <x:c r="U57" s="2"/>
      <x:c r="V57" s="2"/>
      <x:c r="W57" s="2"/>
      <x:c r="X57" s="2"/>
      <x:c r="Y57" s="2"/>
      <x:c r="Z57" s="2"/>
      <x:c r="AA57" s="2"/>
      <x:c r="AB57" s="2"/>
      <x:c r="AC57" s="27"/>
      <x:c r="AD57" s="15" t="s">
        <x:v>457</x:v>
      </x:c>
      <x:c r="AE57" s="15" t="s">
        <x:v>458</x:v>
      </x:c>
    </x:row>
    <x:row r="58">
      <x:c r="A58" s="67"/>
      <x:c r="B58" s="9" t="s">
        <x:v>25</x:v>
      </x:c>
      <x:c r="C58" s="9"/>
      <x:c r="AC58" s="28"/>
      <x:c r="AD58" s="15" t="s">
        <x:v>459</x:v>
      </x:c>
      <x:c r="AE58" s="15" t="s">
        <x:v>460</x:v>
      </x:c>
    </x:row>
    <x:row r="59">
      <x:c r="A59" s="41"/>
      <x:c r="B59" s="9" t="s">
        <x:v>26</x:v>
      </x:c>
      <x:c r="C59" s="9"/>
      <x:c r="AC59" s="29"/>
      <x:c r="AD59" s="15" t="s">
        <x:v>461</x:v>
      </x:c>
      <x:c r="AE59" s="15" t="s">
        <x:v>462</x:v>
      </x:c>
    </x:row>
    <x:row r="60">
      <x:c r="A60" s="43"/>
      <x:c r="B60" s="9" t="s">
        <x:v>27</x:v>
      </x:c>
      <x:c r="C60" s="9"/>
      <x:c r="AC60" s="17"/>
      <x:c r="AD60" s="15" t="s">
        <x:v>463</x:v>
      </x:c>
      <x:c r="AE60" s="15" t="s">
        <x:v>464</x:v>
      </x:c>
    </x:row>
    <x:row r="61">
      <x:c r="A61" s="42"/>
      <x:c r="B61" s="9" t="s">
        <x:v>28</x:v>
      </x:c>
      <x:c r="C61" s="9"/>
    </x:row>
    <x:row r="62" ht="14.399999618530273" customHeight="1">
      <x:c r="A62" s="44"/>
      <x:c r="B62" s="9" t="s">
        <x:v>29</x:v>
      </x:c>
      <x:c r="C62" s="9"/>
    </x:row>
    <x:row r="63">
      <x:c r="A63" s="47"/>
      <x:c r="B63" s="9" t="s">
        <x:v>30</x:v>
      </x:c>
      <x:c r="C63" s="9"/>
    </x:row>
    <x:row r="64">
      <x:c r="A64" s="46"/>
      <x:c r="B64" s="9" t="s">
        <x:v>31</x:v>
      </x:c>
      <x:c r="C64" s="9"/>
    </x:row>
    <x:row r="65" ht="14.399999618530273" customHeight="1">
      <x:c r="A65" s="45"/>
      <x:c r="B65" s="9" t="s">
        <x:v>32</x:v>
      </x:c>
      <x:c r="C65" s="9"/>
    </x:row>
  </x:sheetData>
  <x:mergeCells>
    <x:mergeCell ref="Q56:Z56"/>
    <x:mergeCell ref="AC56:AE56"/>
    <x:mergeCell ref="A55:B55"/>
  </x:mergeCells>
  <x:hyperlinks>
    <x:hyperlink xmlns:r="http://schemas.openxmlformats.org/officeDocument/2006/relationships" ref="E2" r:id="R82761e29ba82466a"/>
    <x:hyperlink xmlns:r="http://schemas.openxmlformats.org/officeDocument/2006/relationships" ref="E3" r:id="R31b5f6b562044c28"/>
    <x:hyperlink xmlns:r="http://schemas.openxmlformats.org/officeDocument/2006/relationships" ref="E4" r:id="R278e104aad7d4c88"/>
    <x:hyperlink xmlns:r="http://schemas.openxmlformats.org/officeDocument/2006/relationships" ref="E5" r:id="R55b0884b747a4d61"/>
    <x:hyperlink xmlns:r="http://schemas.openxmlformats.org/officeDocument/2006/relationships" ref="E6" r:id="R8c4fa3bcaecb4839"/>
    <x:hyperlink xmlns:r="http://schemas.openxmlformats.org/officeDocument/2006/relationships" ref="E7" r:id="R141e47abd7c14284"/>
    <x:hyperlink xmlns:r="http://schemas.openxmlformats.org/officeDocument/2006/relationships" ref="E8" r:id="Rf1097bd8b3244eb9"/>
    <x:hyperlink xmlns:r="http://schemas.openxmlformats.org/officeDocument/2006/relationships" ref="E9" r:id="R3917bef26d1b476c"/>
    <x:hyperlink xmlns:r="http://schemas.openxmlformats.org/officeDocument/2006/relationships" ref="E10" r:id="Rbf48e9c273194b03"/>
    <x:hyperlink xmlns:r="http://schemas.openxmlformats.org/officeDocument/2006/relationships" ref="E11" r:id="R3db19c67168a4324"/>
    <x:hyperlink xmlns:r="http://schemas.openxmlformats.org/officeDocument/2006/relationships" ref="E12" r:id="R71bc1337e8624649"/>
    <x:hyperlink xmlns:r="http://schemas.openxmlformats.org/officeDocument/2006/relationships" ref="E13" r:id="Rab4acb205b144d7c"/>
    <x:hyperlink xmlns:r="http://schemas.openxmlformats.org/officeDocument/2006/relationships" ref="E14" r:id="R9047d3ec0d11486f"/>
    <x:hyperlink xmlns:r="http://schemas.openxmlformats.org/officeDocument/2006/relationships" ref="E15" r:id="R28ab6a4235cf4531"/>
    <x:hyperlink xmlns:r="http://schemas.openxmlformats.org/officeDocument/2006/relationships" ref="E16" r:id="R653dee8af0ca458e"/>
    <x:hyperlink xmlns:r="http://schemas.openxmlformats.org/officeDocument/2006/relationships" ref="E17" r:id="R806ad4c7a89144f3"/>
    <x:hyperlink xmlns:r="http://schemas.openxmlformats.org/officeDocument/2006/relationships" ref="E19" r:id="R9b73dd32bf3e4182"/>
    <x:hyperlink xmlns:r="http://schemas.openxmlformats.org/officeDocument/2006/relationships" ref="E20" r:id="R0fc9e5af8eaa4519"/>
    <x:hyperlink xmlns:r="http://schemas.openxmlformats.org/officeDocument/2006/relationships" ref="E21" r:id="R220519ce4ce04faa"/>
    <x:hyperlink xmlns:r="http://schemas.openxmlformats.org/officeDocument/2006/relationships" ref="E23" r:id="R0ce65737e85943ac"/>
    <x:hyperlink xmlns:r="http://schemas.openxmlformats.org/officeDocument/2006/relationships" ref="E24" r:id="R5859323d3a55457a"/>
    <x:hyperlink xmlns:r="http://schemas.openxmlformats.org/officeDocument/2006/relationships" ref="E25" r:id="Rc9d7dc81a3ec427a"/>
    <x:hyperlink xmlns:r="http://schemas.openxmlformats.org/officeDocument/2006/relationships" ref="E27" r:id="Rd1d3b4796e2f4f2a"/>
    <x:hyperlink xmlns:r="http://schemas.openxmlformats.org/officeDocument/2006/relationships" ref="E28" r:id="R1e0dba9dea724207"/>
    <x:hyperlink xmlns:r="http://schemas.openxmlformats.org/officeDocument/2006/relationships" ref="E29" r:id="R231aadb2cb28478c"/>
    <x:hyperlink xmlns:r="http://schemas.openxmlformats.org/officeDocument/2006/relationships" ref="E30" r:id="R6faa742561904cac"/>
    <x:hyperlink xmlns:r="http://schemas.openxmlformats.org/officeDocument/2006/relationships" ref="E31" r:id="Rc204e7b4131440d4"/>
    <x:hyperlink xmlns:r="http://schemas.openxmlformats.org/officeDocument/2006/relationships" ref="E35" r:id="R47436e04782f4b78"/>
    <x:hyperlink xmlns:r="http://schemas.openxmlformats.org/officeDocument/2006/relationships" ref="E36" r:id="R70a078d18e7148ca"/>
    <x:hyperlink xmlns:r="http://schemas.openxmlformats.org/officeDocument/2006/relationships" ref="E44" r:id="R9f3e9236b35f48a9"/>
  </x:hyperlinks>
  <x:pageMargins left="0.7" right="0.7" top="0.75" bottom="0.75" header="0.3" footer="0.3"/>
  <x:legacyDrawing xmlns:r="http://schemas.openxmlformats.org/officeDocument/2006/relationships" r:id="R9446c90f7ace43aa"/>
  <x:tableParts count="1">
    <x:tablePart xmlns:r="http://schemas.openxmlformats.org/officeDocument/2006/relationships" r:id="Rfbe2fdae2d4b4af1"/>
  </x:tableParts>
</x:worksheet>
</file>

<file path=xl/worksheets/sheet3.xml><?xml version="1.0" encoding="utf-8"?>
<x:worksheet xmlns:x="http://schemas.openxmlformats.org/spreadsheetml/2006/main">
  <x:sheetFormatPr baseColWidth="10" defaultColWidth="11.44140625" defaultRowHeight="14.399999618530273"/>
  <x:cols>
    <x:col min="1" max="1" width="8.109375" style="11" customWidth="1"/>
    <x:col min="2" max="2" width="37.33203125" style="1" customWidth="1"/>
    <x:col min="3" max="3" width="11.44140625" style="1" customWidth="0"/>
    <x:col min="4" max="4" width="33.88671875" style="1" customWidth="1"/>
    <x:col min="5" max="5" width="74.44140625" style="13" customWidth="1"/>
    <x:col min="6" max="6" width="19.5546875" style="1" customWidth="1"/>
    <x:col min="7" max="7" width="21.6640625" style="11" customWidth="1"/>
    <x:col min="8" max="8" width="22.109375" style="1" customWidth="1"/>
    <x:col min="9" max="9" width="51.44140625" style="1" customWidth="1"/>
    <x:col min="10" max="10" width="24" style="11" customWidth="1"/>
    <x:col min="11" max="11" width="91.5546875" style="1" customWidth="1"/>
    <x:col min="12" max="12" width="97.6640625" style="1" customWidth="1"/>
    <x:col min="13" max="13" width="43.109375" style="1" customWidth="1"/>
    <x:col min="14" max="14" width="42.6640625" style="1" customWidth="1"/>
    <x:col min="15" max="15" width="31.33203125" style="1" customWidth="1"/>
    <x:col min="16" max="16" width="13.6640625" style="1" customWidth="1"/>
    <x:col min="17" max="17" width="11.44140625" style="1" customWidth="0"/>
    <x:col min="18" max="18" width="15.5546875" style="1" customWidth="1"/>
    <x:col min="19" max="19" width="13.5546875" style="1" customWidth="1"/>
    <x:col min="20" max="20" width="14.33203125" style="1" customWidth="1"/>
    <x:col min="21" max="21" width="13.109375" style="1" customWidth="1"/>
    <x:col min="22" max="22" width="15.109375" style="1" customWidth="1"/>
    <x:col min="23" max="23" width="16.109375" style="1" customWidth="1"/>
    <x:col min="24" max="24" width="20.6640625" style="1" customWidth="1"/>
    <x:col min="25" max="25" width="13.5546875" style="1" customWidth="1"/>
    <x:col min="26" max="26" width="16.33203125" style="1" customWidth="1"/>
    <x:col min="27" max="27" width="16.44140625" style="1" customWidth="1"/>
    <x:col min="28" max="28" width="17.6640625" style="1" customWidth="1"/>
    <x:col min="29" max="29" width="19" style="1" customWidth="1"/>
    <x:col min="30" max="30" width="13.44140625" style="1" customWidth="1"/>
    <x:col min="31" max="31" width="17.5546875" style="1" customWidth="1"/>
    <x:col min="32" max="32" width="28.88671875" style="1" customWidth="1"/>
    <x:col min="33" max="33" width="20.6640625" style="1" customWidth="1"/>
    <x:col min="34" max="34" width="30.6640625" style="1" customWidth="1"/>
    <x:col min="35" max="16384" width="11.44140625" style="1" customWidth="0"/>
  </x:cols>
  <x:sheetData>
    <x:row r="1" ht="21">
      <x:c r="A1" s="236" t="s">
        <x:v>838</x:v>
      </x:c>
      <x:c r="B1" s="236"/>
      <x:c r="C1" s="236"/>
      <x:c r="D1" s="236"/>
      <x:c r="E1" s="236"/>
      <x:c r="F1" s="236"/>
      <x:c r="G1" s="236"/>
      <x:c r="H1" s="236"/>
      <x:c r="I1" s="236"/>
      <x:c r="J1" s="236"/>
      <x:c r="K1" s="236"/>
      <x:c r="L1" s="236"/>
      <x:c r="M1" s="236"/>
      <x:c r="N1" s="236"/>
      <x:c r="O1" s="236"/>
      <x:c r="P1" s="236"/>
      <x:c r="Q1" s="236"/>
      <x:c r="R1" s="236"/>
      <x:c r="S1" s="236"/>
      <x:c r="T1" s="236"/>
      <x:c r="U1" s="236"/>
      <x:c r="V1" s="236"/>
      <x:c r="W1" s="236"/>
      <x:c r="X1" s="236"/>
      <x:c r="Y1" s="236"/>
      <x:c r="Z1" s="236"/>
    </x:row>
    <x:row r="2" s="2" customFormat="1" ht="26.399999618530273" customHeight="1">
      <x:c r="A2" s="237" t="s">
        <x:v>0</x:v>
      </x:c>
      <x:c r="B2" s="237" t="s">
        <x:v>839</x:v>
      </x:c>
      <x:c r="C2" s="237" t="s">
        <x:v>840</x:v>
      </x:c>
      <x:c r="D2" s="237" t="s">
        <x:v>841</x:v>
      </x:c>
      <x:c r="E2" s="237" t="s">
        <x:v>5</x:v>
      </x:c>
      <x:c r="F2" s="237" t="s">
        <x:v>6</x:v>
      </x:c>
      <x:c r="G2" s="237" t="s">
        <x:v>469</x:v>
      </x:c>
      <x:c r="H2" s="237" t="s">
        <x:v>470</x:v>
      </x:c>
      <x:c r="I2" s="237" t="s">
        <x:v>15</x:v>
      </x:c>
      <x:c r="J2" s="237" t="s">
        <x:v>17</x:v>
      </x:c>
      <x:c r="K2" s="237" t="s">
        <x:v>18</x:v>
      </x:c>
      <x:c r="L2" s="239" t="s">
        <x:v>19</x:v>
      </x:c>
      <x:c r="M2" s="237" t="s">
        <x:v>20</x:v>
      </x:c>
      <x:c r="N2" s="237" t="s">
        <x:v>842</x:v>
      </x:c>
      <x:c r="O2" s="237" t="s">
        <x:v>22</x:v>
      </x:c>
      <x:c r="P2" s="241" t="s">
        <x:v>843</x:v>
      </x:c>
      <x:c r="Q2" s="242"/>
      <x:c r="R2" s="242"/>
      <x:c r="S2" s="242"/>
      <x:c r="T2" s="242"/>
      <x:c r="U2" s="242"/>
      <x:c r="V2" s="242"/>
      <x:c r="W2" s="242"/>
      <x:c r="X2" s="242"/>
      <x:c r="Y2" s="243"/>
      <x:c r="Z2" s="244" t="s">
        <x:v>471</x:v>
      </x:c>
      <x:c r="AA2" s="246" t="s">
        <x:v>844</x:v>
      </x:c>
      <x:c r="AB2" s="246"/>
      <x:c r="AC2" s="246"/>
      <x:c r="AD2" s="246"/>
      <x:c r="AE2" s="237" t="s">
        <x:v>38</x:v>
      </x:c>
      <x:c r="AF2" s="247" t="s">
        <x:v>845</x:v>
      </x:c>
      <x:c r="AG2" s="248"/>
      <x:c r="AH2" s="249" t="s">
        <x:v>846</x:v>
      </x:c>
    </x:row>
    <x:row r="3" s="2" customFormat="1" ht="43.20000076293945" hidden="1" customHeight="1">
      <x:c r="A3" s="238"/>
      <x:c r="B3" s="238"/>
      <x:c r="C3" s="238"/>
      <x:c r="D3" s="238"/>
      <x:c r="E3" s="238"/>
      <x:c r="F3" s="238"/>
      <x:c r="G3" s="238"/>
      <x:c r="H3" s="238"/>
      <x:c r="I3" s="238"/>
      <x:c r="J3" s="238"/>
      <x:c r="K3" s="238"/>
      <x:c r="L3" s="240"/>
      <x:c r="M3" s="238"/>
      <x:c r="N3" s="238"/>
      <x:c r="O3" s="238"/>
      <x:c r="P3" s="3" t="s">
        <x:v>23</x:v>
      </x:c>
      <x:c r="Q3" s="3" t="s">
        <x:v>24</x:v>
      </x:c>
      <x:c r="R3" s="3" t="s">
        <x:v>25</x:v>
      </x:c>
      <x:c r="S3" s="3" t="s">
        <x:v>26</x:v>
      </x:c>
      <x:c r="T3" s="3" t="s">
        <x:v>27</x:v>
      </x:c>
      <x:c r="U3" s="3" t="s">
        <x:v>28</x:v>
      </x:c>
      <x:c r="V3" s="3" t="s">
        <x:v>29</x:v>
      </x:c>
      <x:c r="W3" s="3" t="s">
        <x:v>30</x:v>
      </x:c>
      <x:c r="X3" s="3" t="s">
        <x:v>31</x:v>
      </x:c>
      <x:c r="Y3" s="3" t="s">
        <x:v>32</x:v>
      </x:c>
      <x:c r="Z3" s="245"/>
      <x:c r="AA3" s="26" t="s">
        <x:v>34</x:v>
      </x:c>
      <x:c r="AB3" s="26" t="s">
        <x:v>35</x:v>
      </x:c>
      <x:c r="AC3" s="26" t="s">
        <x:v>36</x:v>
      </x:c>
      <x:c r="AD3" s="26" t="s">
        <x:v>847</x:v>
      </x:c>
      <x:c r="AE3" s="238"/>
      <x:c r="AF3" s="57" t="s">
        <x:v>848</x:v>
      </x:c>
      <x:c r="AG3" s="57" t="s">
        <x:v>45</x:v>
      </x:c>
      <x:c r="AH3" s="250"/>
    </x:row>
    <x:row r="4" ht="208.9499969482422" customHeight="1">
      <x:c r="A4" s="16">
        <x:v>1</x:v>
      </x:c>
      <x:c r="B4" s="5" t="s">
        <x:v>849</x:v>
      </x:c>
      <x:c r="C4" s="6">
        <x:v>2018</x:v>
      </x:c>
      <x:c r="D4" s="6"/>
      <x:c r="E4" s="5" t="s">
        <x:v>850</x:v>
      </x:c>
      <x:c r="F4" s="6" t="s">
        <x:v>851</x:v>
      </x:c>
      <x:c r="G4" s="6" t="s">
        <x:v>852</x:v>
      </x:c>
      <x:c r="H4" s="6" t="s">
        <x:v>66</x:v>
      </x:c>
      <x:c r="I4" s="7" t="s">
        <x:v>853</x:v>
      </x:c>
      <x:c r="J4" s="6" t="s">
        <x:v>854</x:v>
      </x:c>
      <x:c r="K4" s="19" t="s">
        <x:v>855</x:v>
      </x:c>
      <x:c r="L4" s="7" t="s">
        <x:v>856</x:v>
      </x:c>
      <x:c r="M4" s="7" t="s">
        <x:v>857</x:v>
      </x:c>
      <x:c r="N4" s="6" t="s">
        <x:v>858</x:v>
      </x:c>
      <x:c r="O4" s="6"/>
      <x:c r="P4" s="6"/>
      <x:c r="Q4" s="6"/>
      <x:c r="R4" s="6" t="s">
        <x:v>60</x:v>
      </x:c>
      <x:c r="S4" s="6"/>
      <x:c r="T4" s="6"/>
      <x:c r="U4" s="6"/>
      <x:c r="V4" s="6"/>
      <x:c r="W4" s="6"/>
      <x:c r="X4" s="6"/>
      <x:c r="Y4" s="6"/>
      <x:c r="Z4" s="66" t="s">
        <x:v>25</x:v>
      </x:c>
      <x:c r="AA4" s="35">
        <x:v>75</x:v>
      </x:c>
      <x:c r="AB4" s="37">
        <x:v>37.5</x:v>
      </x:c>
      <x:c r="AC4" s="35">
        <x:v>75</x:v>
      </x:c>
      <x:c r="AD4" s="33" t="n">
        <x:f>SUM(AA4:AC4)/3</x:f>
        <x:v>62.5</x:v>
      </x:c>
      <x:c r="AE4" s="6" t="s">
        <x:v>859</x:v>
      </x:c>
      <x:c r="AF4" s="58" t="s">
        <x:v>860</x:v>
      </x:c>
      <x:c r="AG4" s="58" t="n">
        <x:f>1550+775*2</x:f>
        <x:v>3100</x:v>
      </x:c>
      <x:c r="AH4" s="58" t="s">
        <x:v>861</x:v>
      </x:c>
    </x:row>
    <x:row r="5" ht="286.5" customHeight="1">
      <x:c r="A5" s="52">
        <x:v>2</x:v>
      </x:c>
      <x:c r="B5" s="5" t="s">
        <x:v>862</x:v>
      </x:c>
      <x:c r="C5" s="6">
        <x:v>2022</x:v>
      </x:c>
      <x:c r="D5" s="6"/>
      <x:c r="E5" s="5" t="s">
        <x:v>863</x:v>
      </x:c>
      <x:c r="F5" s="6" t="s">
        <x:v>864</x:v>
      </x:c>
      <x:c r="G5" s="6" t="s">
        <x:v>852</x:v>
      </x:c>
      <x:c r="H5" s="6" t="s">
        <x:v>66</x:v>
      </x:c>
      <x:c r="I5" s="7" t="s">
        <x:v>865</x:v>
      </x:c>
      <x:c r="J5" s="6" t="s">
        <x:v>585</x:v>
      </x:c>
      <x:c r="K5" s="19" t="s">
        <x:v>866</x:v>
      </x:c>
      <x:c r="L5" s="7" t="s">
        <x:v>867</x:v>
      </x:c>
      <x:c r="M5" s="6"/>
      <x:c r="N5" s="6" t="s">
        <x:v>85</x:v>
      </x:c>
      <x:c r="O5" s="6"/>
      <x:c r="P5" s="6"/>
      <x:c r="Q5" s="6"/>
      <x:c r="R5" s="6"/>
      <x:c r="S5" s="6" t="s">
        <x:v>60</x:v>
      </x:c>
      <x:c r="T5" s="6"/>
      <x:c r="U5" s="6"/>
      <x:c r="V5" s="6"/>
      <x:c r="W5" s="6"/>
      <x:c r="X5" s="6"/>
      <x:c r="Y5" s="6"/>
      <x:c r="Z5" s="64" t="s">
        <x:v>868</x:v>
      </x:c>
      <x:c r="AA5" s="35">
        <x:v>75</x:v>
      </x:c>
      <x:c r="AB5" s="36">
        <x:v>50</x:v>
      </x:c>
      <x:c r="AC5" s="36">
        <x:v>66.7</x:v>
      </x:c>
      <x:c r="AD5" s="33" t="n">
        <x:f>SUM(AA5:AC5)/3</x:f>
        <x:v>63.9</x:v>
      </x:c>
      <x:c r="AE5" s="6" t="s">
        <x:v>864</x:v>
      </x:c>
      <x:c r="AF5" s="58" t="s">
        <x:v>869</x:v>
      </x:c>
      <x:c r="AG5" s="58">
        <x:v>2000</x:v>
      </x:c>
      <x:c r="AH5" s="58" t="s">
        <x:v>870</x:v>
      </x:c>
    </x:row>
    <x:row r="6" ht="50.25" customHeight="1">
      <x:c r="A6" s="14">
        <x:v>3</x:v>
      </x:c>
      <x:c r="B6" s="5" t="s">
        <x:v>871</x:v>
      </x:c>
      <x:c r="C6" s="6">
        <x:v>2021</x:v>
      </x:c>
      <x:c r="D6" s="6"/>
      <x:c r="E6" s="5" t="s">
        <x:v>872</x:v>
      </x:c>
      <x:c r="F6" s="6" t="s">
        <x:v>873</x:v>
      </x:c>
      <x:c r="G6" s="6" t="s">
        <x:v>852</x:v>
      </x:c>
      <x:c r="H6" s="6" t="s">
        <x:v>66</x:v>
      </x:c>
      <x:c r="I6" s="7" t="s">
        <x:v>874</x:v>
      </x:c>
      <x:c r="J6" s="6" t="s">
        <x:v>875</x:v>
      </x:c>
      <x:c r="K6" s="19" t="s">
        <x:v>876</x:v>
      </x:c>
      <x:c r="L6" s="7" t="s">
        <x:v>877</x:v>
      </x:c>
      <x:c r="M6" s="6"/>
      <x:c r="N6" s="6" t="s">
        <x:v>878</x:v>
      </x:c>
      <x:c r="O6" s="6"/>
      <x:c r="P6" s="6"/>
      <x:c r="Q6" s="6" t="s">
        <x:v>60</x:v>
      </x:c>
      <x:c r="R6" s="6"/>
      <x:c r="S6" s="6"/>
      <x:c r="T6" s="6"/>
      <x:c r="U6" s="6"/>
      <x:c r="V6" s="6"/>
      <x:c r="W6" s="6"/>
      <x:c r="X6" s="6"/>
      <x:c r="Y6" s="6"/>
      <x:c r="Z6" s="65" t="s">
        <x:v>24</x:v>
      </x:c>
      <x:c r="AA6" s="35">
        <x:v>87.5</x:v>
      </x:c>
      <x:c r="AB6" s="35">
        <x:v>75</x:v>
      </x:c>
      <x:c r="AC6" s="36">
        <x:v>50</x:v>
      </x:c>
      <x:c r="AD6" s="33" t="n">
        <x:f t="shared" ref="AD6:AD11" si="0">SUM(AA6:AC6)/3</x:f>
        <x:v>70.83333333333333</x:v>
      </x:c>
      <x:c r="AE6" s="6"/>
      <x:c r="AF6" s="58" t="s">
        <x:v>879</x:v>
      </x:c>
      <x:c r="AG6" s="58" t="n">
        <x:f>1800*2</x:f>
        <x:v>3600</x:v>
      </x:c>
      <x:c r="AH6" s="58">
        <x:v>17392</x:v>
      </x:c>
    </x:row>
    <x:row r="7" ht="69.75" customHeight="1">
      <x:c r="A7" s="17">
        <x:v>4</x:v>
      </x:c>
      <x:c r="B7" s="5" t="s">
        <x:v>880</x:v>
      </x:c>
      <x:c r="C7" s="6">
        <x:v>2020</x:v>
      </x:c>
      <x:c r="D7" s="6"/>
      <x:c r="E7" s="5" t="s">
        <x:v>881</x:v>
      </x:c>
      <x:c r="F7" s="6" t="s">
        <x:v>882</x:v>
      </x:c>
      <x:c r="G7" s="6" t="s">
        <x:v>852</x:v>
      </x:c>
      <x:c r="H7" s="6" t="s">
        <x:v>66</x:v>
      </x:c>
      <x:c r="I7" s="7" t="s">
        <x:v>883</x:v>
      </x:c>
      <x:c r="J7" s="6" t="s">
        <x:v>884</x:v>
      </x:c>
      <x:c r="K7" s="19" t="s">
        <x:v>885</x:v>
      </x:c>
      <x:c r="L7" s="7" t="s">
        <x:v>886</x:v>
      </x:c>
      <x:c r="M7" s="6"/>
      <x:c r="N7" s="6" t="s">
        <x:v>887</x:v>
      </x:c>
      <x:c r="O7" s="6"/>
      <x:c r="P7" s="6" t="s">
        <x:v>60</x:v>
      </x:c>
      <x:c r="Q7" s="6"/>
      <x:c r="R7" s="6"/>
      <x:c r="S7" s="6"/>
      <x:c r="T7" s="6"/>
      <x:c r="U7" s="6"/>
      <x:c r="V7" s="6"/>
      <x:c r="W7" s="6"/>
      <x:c r="X7" s="6"/>
      <x:c r="Y7" s="6"/>
      <x:c r="Z7" s="35" t="s">
        <x:v>23</x:v>
      </x:c>
      <x:c r="AA7" s="35">
        <x:v>87.5</x:v>
      </x:c>
      <x:c r="AB7" s="36">
        <x:v>58.3</x:v>
      </x:c>
      <x:c r="AC7" s="36">
        <x:v>58.3</x:v>
      </x:c>
      <x:c r="AD7" s="33">
        <x:f t="shared" si="0"/>
        <x:v>68.033333333333346</x:v>
      </x:c>
      <x:c r="AE7" s="6"/>
      <x:c r="AF7" s="58" t="s">
        <x:v>888</x:v>
      </x:c>
      <x:c r="AG7" s="58"/>
      <x:c r="AH7" s="58">
        <x:v>45608</x:v>
      </x:c>
    </x:row>
    <x:row r="8" ht="54" customHeight="1">
      <x:c r="A8" s="14">
        <x:v>5</x:v>
      </x:c>
      <x:c r="B8" s="5" t="s">
        <x:v>889</x:v>
      </x:c>
      <x:c r="C8" s="6"/>
      <x:c r="D8" s="6"/>
      <x:c r="E8" s="5" t="s">
        <x:v>890</x:v>
      </x:c>
      <x:c r="F8" s="6" t="s">
        <x:v>50</x:v>
      </x:c>
      <x:c r="G8" s="6" t="s">
        <x:v>852</x:v>
      </x:c>
      <x:c r="H8" s="6" t="s">
        <x:v>66</x:v>
      </x:c>
      <x:c r="I8" s="7"/>
      <x:c r="J8" s="6"/>
      <x:c r="K8" s="19"/>
      <x:c r="L8" s="6"/>
      <x:c r="M8" s="6"/>
      <x:c r="N8" s="6" t="s">
        <x:v>891</x:v>
      </x:c>
      <x:c r="O8" s="6"/>
      <x:c r="P8" s="6"/>
      <x:c r="Q8" s="6" t="s">
        <x:v>60</x:v>
      </x:c>
      <x:c r="R8" s="6"/>
      <x:c r="S8" s="6"/>
      <x:c r="T8" s="6"/>
      <x:c r="U8" s="6"/>
      <x:c r="V8" s="6"/>
      <x:c r="W8" s="6"/>
      <x:c r="X8" s="6"/>
      <x:c r="Y8" s="6"/>
      <x:c r="Z8" s="65" t="s">
        <x:v>24</x:v>
      </x:c>
      <x:c r="AA8" s="35">
        <x:v>87.5</x:v>
      </x:c>
      <x:c r="AB8" s="35">
        <x:v>87.5</x:v>
      </x:c>
      <x:c r="AC8" s="35">
        <x:v>87.5</x:v>
      </x:c>
      <x:c r="AD8" s="32">
        <x:f t="shared" si="0"/>
        <x:v>87.5</x:v>
      </x:c>
      <x:c r="AE8" s="6"/>
      <x:c r="AF8" s="58" t="s">
        <x:v>892</x:v>
      </x:c>
      <x:c r="AG8" s="58"/>
      <x:c r="AH8" s="58" t="s">
        <x:v>893</x:v>
      </x:c>
    </x:row>
    <x:row r="9" ht="54" hidden="1" customHeight="1">
      <x:c r="A9" s="216"/>
      <x:c r="B9" s="5"/>
      <x:c r="C9" s="6"/>
      <x:c r="D9" s="6"/>
      <x:c r="E9" s="5"/>
      <x:c r="F9" s="6"/>
      <x:c r="G9" s="6"/>
      <x:c r="H9" s="6"/>
      <x:c r="I9" s="7"/>
      <x:c r="J9" s="6"/>
      <x:c r="K9" s="19"/>
      <x:c r="L9" s="6"/>
      <x:c r="M9" s="6"/>
      <x:c r="N9" s="6"/>
      <x:c r="O9" s="6"/>
      <x:c r="P9" s="6"/>
      <x:c r="Q9" s="6"/>
      <x:c r="R9" s="6"/>
      <x:c r="S9" s="6"/>
      <x:c r="T9" s="6"/>
      <x:c r="U9" s="6"/>
      <x:c r="V9" s="6"/>
      <x:c r="W9" s="6"/>
      <x:c r="X9" s="6"/>
      <x:c r="Y9" s="6"/>
      <x:c r="Z9" s="65"/>
      <x:c r="AA9" s="35"/>
      <x:c r="AB9" s="35"/>
      <x:c r="AC9" s="35"/>
      <x:c r="AD9" s="32"/>
      <x:c r="AE9" s="6"/>
      <x:c r="AF9" s="58"/>
      <x:c r="AG9" s="58"/>
      <x:c r="AH9" s="58"/>
    </x:row>
    <x:row r="10" ht="47.25" customHeight="1">
      <x:c r="A10" s="214">
        <x:v>6</x:v>
      </x:c>
      <x:c r="B10" s="213" t="s">
        <x:v>894</x:v>
      </x:c>
      <x:c r="C10" s="6">
        <x:v>2020</x:v>
      </x:c>
      <x:c r="D10" s="6"/>
      <x:c r="E10" s="5" t="s">
        <x:v>895</x:v>
      </x:c>
      <x:c r="F10" s="6" t="s">
        <x:v>76</x:v>
      </x:c>
      <x:c r="G10" s="6" t="s">
        <x:v>896</x:v>
      </x:c>
      <x:c r="H10" s="6" t="s">
        <x:v>66</x:v>
      </x:c>
      <x:c r="I10" s="7" t="s">
        <x:v>897</x:v>
      </x:c>
      <x:c r="J10" s="6" t="s">
        <x:v>898</x:v>
      </x:c>
      <x:c r="K10" s="19" t="s">
        <x:v>899</x:v>
      </x:c>
      <x:c r="L10" s="7" t="s">
        <x:v>900</x:v>
      </x:c>
      <x:c r="M10" s="6"/>
      <x:c r="N10" s="6" t="s">
        <x:v>901</x:v>
      </x:c>
      <x:c r="O10" s="6"/>
      <x:c r="P10" s="6"/>
      <x:c r="Q10" s="6"/>
      <x:c r="R10" s="6"/>
      <x:c r="S10" s="6"/>
      <x:c r="T10" s="6"/>
      <x:c r="U10" s="6" t="s">
        <x:v>60</x:v>
      </x:c>
      <x:c r="V10" s="6"/>
      <x:c r="W10" s="6"/>
      <x:c r="X10" s="6"/>
      <x:c r="Y10" s="6"/>
      <x:c r="Z10" s="63" t="s">
        <x:v>28</x:v>
      </x:c>
      <x:c r="AA10" s="35">
        <x:v>100</x:v>
      </x:c>
      <x:c r="AB10" s="35">
        <x:v>87.5</x:v>
      </x:c>
      <x:c r="AC10" s="35">
        <x:v>87.5</x:v>
      </x:c>
      <x:c r="AD10" s="32">
        <x:f t="shared" si="0"/>
        <x:v>91.666666666666671</x:v>
      </x:c>
      <x:c r="AE10" s="6"/>
      <x:c r="AF10" s="58" t="s">
        <x:v>902</x:v>
      </x:c>
      <x:c r="AG10" s="58"/>
      <x:c r="AH10" s="58" t="s">
        <x:v>903</x:v>
      </x:c>
    </x:row>
    <x:row r="11" ht="48.75" customHeight="1">
      <x:c r="A11" s="208">
        <x:v>7.1</x:v>
      </x:c>
      <x:c r="B11" s="213" t="s">
        <x:v>904</x:v>
      </x:c>
      <x:c r="C11" s="6">
        <x:v>2022</x:v>
      </x:c>
      <x:c r="D11" s="6"/>
      <x:c r="E11" s="5" t="s">
        <x:v>905</x:v>
      </x:c>
      <x:c r="F11" s="6" t="s">
        <x:v>50</x:v>
      </x:c>
      <x:c r="G11" s="6" t="s">
        <x:v>852</x:v>
      </x:c>
      <x:c r="H11" s="6" t="s">
        <x:v>66</x:v>
      </x:c>
      <x:c r="I11" s="7" t="s">
        <x:v>906</x:v>
      </x:c>
      <x:c r="J11" s="6" t="s">
        <x:v>907</x:v>
      </x:c>
      <x:c r="K11" s="19" t="s">
        <x:v>908</x:v>
      </x:c>
      <x:c r="L11" s="7" t="s">
        <x:v>909</x:v>
      </x:c>
      <x:c r="M11" s="6"/>
      <x:c r="N11" s="6" t="s">
        <x:v>910</x:v>
      </x:c>
      <x:c r="O11" s="6"/>
      <x:c r="P11" s="6"/>
      <x:c r="Q11" s="6" t="s">
        <x:v>60</x:v>
      </x:c>
      <x:c r="R11" s="6"/>
      <x:c r="S11" s="6"/>
      <x:c r="T11" s="6"/>
      <x:c r="U11" s="6"/>
      <x:c r="V11" s="6"/>
      <x:c r="W11" s="6"/>
      <x:c r="X11" s="6"/>
      <x:c r="Y11" s="6"/>
      <x:c r="Z11" s="65" t="s">
        <x:v>24</x:v>
      </x:c>
      <x:c r="AA11" s="35">
        <x:v>100</x:v>
      </x:c>
      <x:c r="AB11" s="36">
        <x:v>62.5</x:v>
      </x:c>
      <x:c r="AC11" s="35">
        <x:v>87.5</x:v>
      </x:c>
      <x:c r="AD11" s="32">
        <x:f t="shared" si="0"/>
        <x:v>83.333333333333329</x:v>
      </x:c>
      <x:c r="AE11" s="6"/>
      <x:c r="AF11" s="251" t="s">
        <x:v>911</x:v>
      </x:c>
      <x:c r="AG11" s="251"/>
      <x:c r="AH11" s="251" t="s">
        <x:v>912</x:v>
      </x:c>
    </x:row>
    <x:row r="12" ht="99.75" customHeight="1">
      <x:c r="A12" s="208">
        <x:v>7.2</x:v>
      </x:c>
      <x:c r="B12" s="213" t="s">
        <x:v>913</x:v>
      </x:c>
      <x:c r="C12" s="6">
        <x:v>2023</x:v>
      </x:c>
      <x:c r="D12" s="6"/>
      <x:c r="E12" s="5" t="s">
        <x:v>914</x:v>
      </x:c>
      <x:c r="F12" s="6" t="s">
        <x:v>50</x:v>
      </x:c>
      <x:c r="G12" s="6" t="s">
        <x:v>852</x:v>
      </x:c>
      <x:c r="H12" s="6" t="s">
        <x:v>66</x:v>
      </x:c>
      <x:c r="I12" s="7" t="s">
        <x:v>915</x:v>
      </x:c>
      <x:c r="J12" s="6" t="s">
        <x:v>916</x:v>
      </x:c>
      <x:c r="K12" s="19" t="s">
        <x:v>917</x:v>
      </x:c>
      <x:c r="L12" s="7" t="s">
        <x:v>918</x:v>
      </x:c>
      <x:c r="M12" s="4"/>
      <x:c r="N12" s="6" t="s">
        <x:v>919</x:v>
      </x:c>
      <x:c r="O12" s="6"/>
      <x:c r="P12" s="6"/>
      <x:c r="Q12" s="6" t="s">
        <x:v>60</x:v>
      </x:c>
      <x:c r="R12" s="6"/>
      <x:c r="S12" s="6"/>
      <x:c r="T12" s="6"/>
      <x:c r="U12" s="6"/>
      <x:c r="V12" s="6"/>
      <x:c r="W12" s="6"/>
      <x:c r="X12" s="6"/>
      <x:c r="Y12" s="6"/>
      <x:c r="Z12" s="65" t="s">
        <x:v>24</x:v>
      </x:c>
      <x:c r="AA12" s="35">
        <x:v>100</x:v>
      </x:c>
      <x:c r="AB12" s="36">
        <x:v>50</x:v>
      </x:c>
      <x:c r="AC12" s="35">
        <x:v>87.5</x:v>
      </x:c>
      <x:c r="AD12" s="32" t="n">
        <x:f>SUM(AA12:AC12)/3</x:f>
        <x:v>79.16666666666667</x:v>
      </x:c>
      <x:c r="AE12" s="6"/>
      <x:c r="AF12" s="252"/>
      <x:c r="AG12" s="252"/>
      <x:c r="AH12" s="252"/>
    </x:row>
    <x:row r="13" ht="54" customHeight="1">
      <x:c r="A13" s="208">
        <x:v>7.3</x:v>
      </x:c>
      <x:c r="B13" s="213" t="s">
        <x:v>920</x:v>
      </x:c>
      <x:c r="C13" s="6">
        <x:v>2022</x:v>
      </x:c>
      <x:c r="D13" s="6"/>
      <x:c r="E13" s="5" t="s">
        <x:v>921</x:v>
      </x:c>
      <x:c r="F13" s="6" t="s">
        <x:v>922</x:v>
      </x:c>
      <x:c r="G13" s="6" t="s">
        <x:v>852</x:v>
      </x:c>
      <x:c r="H13" s="6" t="s">
        <x:v>66</x:v>
      </x:c>
      <x:c r="I13" s="7" t="s">
        <x:v>923</x:v>
      </x:c>
      <x:c r="J13" s="6" t="s">
        <x:v>916</x:v>
      </x:c>
      <x:c r="K13" s="19" t="s">
        <x:v>924</x:v>
      </x:c>
      <x:c r="L13" s="7" t="s">
        <x:v>925</x:v>
      </x:c>
      <x:c r="M13" s="7" t="s">
        <x:v>926</x:v>
      </x:c>
      <x:c r="N13" s="6" t="s">
        <x:v>927</x:v>
      </x:c>
      <x:c r="O13" s="6"/>
      <x:c r="P13" s="6"/>
      <x:c r="Q13" s="6" t="s">
        <x:v>60</x:v>
      </x:c>
      <x:c r="R13" s="6"/>
      <x:c r="S13" s="6"/>
      <x:c r="T13" s="6"/>
      <x:c r="U13" s="6"/>
      <x:c r="V13" s="6"/>
      <x:c r="W13" s="6"/>
      <x:c r="X13" s="6"/>
      <x:c r="Y13" s="6"/>
      <x:c r="Z13" s="65" t="s">
        <x:v>24</x:v>
      </x:c>
      <x:c r="AA13" s="35">
        <x:v>87.5</x:v>
      </x:c>
      <x:c r="AB13" s="36">
        <x:v>62.5</x:v>
      </x:c>
      <x:c r="AC13" s="35">
        <x:v>87.5</x:v>
      </x:c>
      <x:c r="AD13" s="32" t="n">
        <x:f>SUM(AA13:AC13)/3</x:f>
        <x:v>79.16666666666667</x:v>
      </x:c>
      <x:c r="AE13" s="6"/>
      <x:c r="AF13" s="252"/>
      <x:c r="AG13" s="252"/>
      <x:c r="AH13" s="252"/>
    </x:row>
    <x:row r="14" ht="42.75" customHeight="1">
      <x:c r="A14" s="208">
        <x:v>7.4</x:v>
      </x:c>
      <x:c r="B14" s="213" t="s">
        <x:v>928</x:v>
      </x:c>
      <x:c r="C14" s="6">
        <x:v>2024</x:v>
      </x:c>
      <x:c r="D14" s="6"/>
      <x:c r="E14" s="5" t="s">
        <x:v>929</x:v>
      </x:c>
      <x:c r="F14" s="6" t="s">
        <x:v>930</x:v>
      </x:c>
      <x:c r="G14" s="6" t="s">
        <x:v>852</x:v>
      </x:c>
      <x:c r="H14" s="6" t="s">
        <x:v>66</x:v>
      </x:c>
      <x:c r="I14" s="7" t="s">
        <x:v>931</x:v>
      </x:c>
      <x:c r="J14" s="6" t="s">
        <x:v>932</x:v>
      </x:c>
      <x:c r="K14" s="19" t="s">
        <x:v>933</x:v>
      </x:c>
      <x:c r="L14" s="7" t="s">
        <x:v>934</x:v>
      </x:c>
      <x:c r="M14" s="7"/>
      <x:c r="N14" s="6" t="s">
        <x:v>935</x:v>
      </x:c>
      <x:c r="O14" s="6"/>
      <x:c r="P14" s="6"/>
      <x:c r="Q14" s="6" t="s">
        <x:v>60</x:v>
      </x:c>
      <x:c r="R14" s="6"/>
      <x:c r="S14" s="6"/>
      <x:c r="T14" s="6"/>
      <x:c r="U14" s="6"/>
      <x:c r="V14" s="6"/>
      <x:c r="W14" s="6"/>
      <x:c r="X14" s="6"/>
      <x:c r="Y14" s="6"/>
      <x:c r="Z14" s="65" t="s">
        <x:v>24</x:v>
      </x:c>
      <x:c r="AA14" s="35">
        <x:v>75</x:v>
      </x:c>
      <x:c r="AB14" s="36">
        <x:v>50</x:v>
      </x:c>
      <x:c r="AC14" s="36">
        <x:v>58.3</x:v>
      </x:c>
      <x:c r="AD14" s="33" t="n">
        <x:f>SUM(AA14:AC14)/3</x:f>
        <x:v>61.1</x:v>
      </x:c>
      <x:c r="AE14" s="6"/>
      <x:c r="AF14" s="253"/>
      <x:c r="AG14" s="253"/>
      <x:c r="AH14" s="253"/>
    </x:row>
    <x:row r="15" ht="129.60000610351562" hidden="1">
      <x:c r="A15" s="208">
        <x:v>10</x:v>
      </x:c>
      <x:c r="B15" s="213" t="s">
        <x:v>936</x:v>
      </x:c>
      <x:c r="C15" s="6"/>
      <x:c r="D15" s="6"/>
      <x:c r="E15" s="5" t="s">
        <x:v>937</x:v>
      </x:c>
      <x:c r="F15" s="6" t="s">
        <x:v>938</x:v>
      </x:c>
      <x:c r="G15" s="6" t="s">
        <x:v>607</x:v>
      </x:c>
      <x:c r="H15" s="6" t="s">
        <x:v>607</x:v>
      </x:c>
      <x:c r="I15" s="7" t="s">
        <x:v>939</x:v>
      </x:c>
      <x:c r="J15" s="6" t="s">
        <x:v>940</x:v>
      </x:c>
      <x:c r="K15" s="19" t="s">
        <x:v>941</x:v>
      </x:c>
      <x:c r="L15" s="7"/>
      <x:c r="M15" s="7"/>
      <x:c r="N15" s="6" t="s">
        <x:v>942</x:v>
      </x:c>
      <x:c r="O15" s="6"/>
      <x:c r="P15" s="6"/>
      <x:c r="Q15" s="6" t="s">
        <x:v>60</x:v>
      </x:c>
      <x:c r="R15" s="6"/>
      <x:c r="S15" s="6"/>
      <x:c r="T15" s="6"/>
      <x:c r="U15" s="6"/>
      <x:c r="V15" s="6"/>
      <x:c r="W15" s="6"/>
      <x:c r="X15" s="6"/>
      <x:c r="Y15" s="6"/>
      <x:c r="Z15" s="65" t="s">
        <x:v>24</x:v>
      </x:c>
      <x:c r="AA15" s="35">
        <x:v>75</x:v>
      </x:c>
      <x:c r="AB15" s="36">
        <x:v>50</x:v>
      </x:c>
      <x:c r="AC15" s="36">
        <x:v>50</x:v>
      </x:c>
      <x:c r="AD15" s="33" t="n">
        <x:f>SUM(AA15:AC15)/3</x:f>
        <x:v>58.333333333333336</x:v>
      </x:c>
      <x:c r="AE15" s="6"/>
      <x:c r="AF15" s="58" t="s">
        <x:v>943</x:v>
      </x:c>
      <x:c r="AG15" s="58">
        <x:v>4101</x:v>
      </x:c>
      <x:c r="AH15" s="58"/>
    </x:row>
    <x:row r="16" ht="158.39999389648438">
      <x:c r="A16" s="211">
        <x:v>11</x:v>
      </x:c>
      <x:c r="B16" s="213" t="s">
        <x:v>944</x:v>
      </x:c>
      <x:c r="C16" s="6">
        <x:v>2022</x:v>
      </x:c>
      <x:c r="D16" s="6"/>
      <x:c r="E16" s="5" t="s">
        <x:v>945</x:v>
      </x:c>
      <x:c r="F16" s="6" t="s">
        <x:v>922</x:v>
      </x:c>
      <x:c r="G16" s="6" t="s">
        <x:v>852</x:v>
      </x:c>
      <x:c r="H16" s="6" t="s">
        <x:v>66</x:v>
      </x:c>
      <x:c r="I16" s="7" t="s">
        <x:v>946</x:v>
      </x:c>
      <x:c r="J16" s="6" t="s">
        <x:v>947</x:v>
      </x:c>
      <x:c r="K16" s="19" t="s">
        <x:v>948</x:v>
      </x:c>
      <x:c r="L16" s="7" t="s">
        <x:v>949</x:v>
      </x:c>
      <x:c r="M16" s="7" t="s">
        <x:v>950</x:v>
      </x:c>
      <x:c r="N16" s="6" t="s">
        <x:v>951</x:v>
      </x:c>
      <x:c r="O16" s="6"/>
      <x:c r="P16" s="6"/>
      <x:c r="Q16" s="6"/>
      <x:c r="R16" s="6"/>
      <x:c r="S16" s="6" t="s">
        <x:v>60</x:v>
      </x:c>
      <x:c r="T16" s="6"/>
      <x:c r="U16" s="6"/>
      <x:c r="V16" s="6"/>
      <x:c r="W16" s="6"/>
      <x:c r="X16" s="6"/>
      <x:c r="Y16" s="6"/>
      <x:c r="Z16" s="64" t="s">
        <x:v>868</x:v>
      </x:c>
      <x:c r="AA16" s="35">
        <x:v>87.5</x:v>
      </x:c>
      <x:c r="AB16" s="36">
        <x:v>66.7</x:v>
      </x:c>
      <x:c r="AC16" s="36">
        <x:v>62.5</x:v>
      </x:c>
      <x:c r="AD16" s="33" t="n">
        <x:f>SUM(AA16:AC16)/3</x:f>
        <x:v>72.23333333333333</x:v>
      </x:c>
      <x:c r="AE16" s="6"/>
      <x:c r="AF16" s="58" t="s">
        <x:v>952</x:v>
      </x:c>
      <x:c r="AG16" s="68" t="n">
        <x:f>463.72+1146.47+1800</x:f>
        <x:v>3410.19</x:v>
      </x:c>
      <x:c r="AH16" s="58" t="s">
        <x:v>953</x:v>
      </x:c>
    </x:row>
    <x:row r="17" ht="43.20000076293945" hidden="1">
      <x:c r="A17" s="215">
        <x:v>12</x:v>
      </x:c>
      <x:c r="B17" s="213" t="s">
        <x:v>954</x:v>
      </x:c>
      <x:c r="C17" s="6">
        <x:v>2025</x:v>
      </x:c>
      <x:c r="D17" s="6"/>
      <x:c r="E17" s="5" t="s">
        <x:v>955</x:v>
      </x:c>
      <x:c r="F17" s="6" t="s">
        <x:v>956</x:v>
      </x:c>
      <x:c r="G17" s="6" t="s">
        <x:v>957</x:v>
      </x:c>
      <x:c r="H17" s="6" t="s">
        <x:v>957</x:v>
      </x:c>
      <x:c r="I17" s="7"/>
      <x:c r="J17" s="6"/>
      <x:c r="K17" s="19"/>
      <x:c r="L17" s="7" t="s">
        <x:v>958</x:v>
      </x:c>
      <x:c r="M17" s="7"/>
      <x:c r="N17" s="2"/>
      <x:c r="O17" s="6"/>
      <x:c r="P17" s="6"/>
      <x:c r="Q17" s="6"/>
      <x:c r="R17" s="6"/>
      <x:c r="S17" s="6"/>
      <x:c r="T17" s="6"/>
      <x:c r="U17" s="6"/>
      <x:c r="V17" s="6"/>
      <x:c r="W17" s="6"/>
      <x:c r="X17" s="6"/>
      <x:c r="Y17" s="6"/>
      <x:c r="Z17" s="156"/>
      <x:c r="AA17" s="157"/>
      <x:c r="AB17" s="158"/>
      <x:c r="AC17" s="158"/>
      <x:c r="AD17" s="159"/>
      <x:c r="AE17" s="2"/>
      <x:c r="AF17" s="58"/>
      <x:c r="AG17" s="68"/>
      <x:c r="AH17" s="58"/>
    </x:row>
    <x:row r="18" ht="57.599998474121094" hidden="1">
      <x:c r="A18" s="214">
        <x:v>14</x:v>
      </x:c>
      <x:c r="B18" s="213" t="s">
        <x:v>959</x:v>
      </x:c>
      <x:c r="C18" s="6">
        <x:v>2025</x:v>
      </x:c>
      <x:c r="D18" s="6"/>
      <x:c r="E18" s="5" t="s">
        <x:v>960</x:v>
      </x:c>
      <x:c r="F18" s="6" t="s">
        <x:v>177</x:v>
      </x:c>
      <x:c r="G18" s="6" t="s">
        <x:v>961</x:v>
      </x:c>
      <x:c r="H18" s="6"/>
      <x:c r="I18" s="7"/>
      <x:c r="J18" s="6"/>
      <x:c r="K18" s="19" t="s">
        <x:v>962</x:v>
      </x:c>
      <x:c r="L18" s="7" t="s">
        <x:v>958</x:v>
      </x:c>
      <x:c r="M18" s="7"/>
      <x:c r="N18" s="2"/>
      <x:c r="O18" s="6"/>
      <x:c r="P18" s="6"/>
      <x:c r="Q18" s="6"/>
      <x:c r="R18" s="6"/>
      <x:c r="S18" s="6"/>
      <x:c r="T18" s="6"/>
      <x:c r="U18" s="6"/>
      <x:c r="V18" s="6"/>
      <x:c r="W18" s="6"/>
      <x:c r="X18" s="6"/>
      <x:c r="Y18" s="6"/>
      <x:c r="Z18" s="156"/>
      <x:c r="AA18" s="157"/>
      <x:c r="AB18" s="158"/>
      <x:c r="AC18" s="158"/>
      <x:c r="AD18" s="159"/>
      <x:c r="AE18" s="2"/>
      <x:c r="AF18" s="58"/>
      <x:c r="AG18" s="68"/>
      <x:c r="AH18" s="58"/>
    </x:row>
    <x:row r="19" ht="58.5" customHeight="1">
      <x:c r="A19" s="210">
        <x:v>17</x:v>
      </x:c>
      <x:c r="B19" s="212" t="s">
        <x:v>963</x:v>
      </x:c>
      <x:c r="C19" s="86">
        <x:v>2025</x:v>
      </x:c>
      <x:c r="D19" s="86" t="s">
        <x:v>964</x:v>
      </x:c>
      <x:c r="E19" s="188" t="s">
        <x:v>965</x:v>
      </x:c>
      <x:c r="F19" s="86" t="s">
        <x:v>966</x:v>
      </x:c>
      <x:c r="G19" s="86" t="s">
        <x:v>852</x:v>
      </x:c>
      <x:c r="H19" s="86" t="s">
        <x:v>66</x:v>
      </x:c>
      <x:c r="I19" s="189" t="s">
        <x:v>967</x:v>
      </x:c>
      <x:c r="J19" s="86" t="s">
        <x:v>968</x:v>
      </x:c>
      <x:c r="K19" s="190" t="s">
        <x:v>969</x:v>
      </x:c>
      <x:c r="L19" s="189"/>
      <x:c r="M19" s="189"/>
      <x:c r="N19" s="2"/>
      <x:c r="O19" s="86"/>
      <x:c r="P19" s="86"/>
      <x:c r="Q19" s="86"/>
      <x:c r="R19" s="86"/>
      <x:c r="S19" s="86"/>
      <x:c r="T19" s="86" t="s">
        <x:v>970</x:v>
      </x:c>
      <x:c r="U19" s="86"/>
      <x:c r="V19" s="86"/>
      <x:c r="W19" s="86"/>
      <x:c r="X19" s="86"/>
      <x:c r="Y19" s="86"/>
      <x:c r="Z19" s="156"/>
      <x:c r="AA19" s="157"/>
      <x:c r="AB19" s="158"/>
      <x:c r="AC19" s="158"/>
      <x:c r="AD19" s="159"/>
      <x:c r="AE19" s="2"/>
      <x:c r="AF19" s="122"/>
      <x:c r="AG19" s="124"/>
      <x:c r="AH19" s="122"/>
    </x:row>
    <x:row r="20" s="202" customFormat="1" ht="48.75" customHeight="1">
      <x:c r="A20" s="211">
        <x:v>18</x:v>
      </x:c>
      <x:c r="B20" s="207" t="s">
        <x:v>971</x:v>
      </x:c>
      <x:c r="C20" s="192">
        <x:v>2025</x:v>
      </x:c>
      <x:c r="D20" s="192" t="s">
        <x:v>964</x:v>
      </x:c>
      <x:c r="E20" s="193" t="s">
        <x:v>972</x:v>
      </x:c>
      <x:c r="F20" s="192" t="s">
        <x:v>973</x:v>
      </x:c>
      <x:c r="G20" s="192" t="s">
        <x:v>852</x:v>
      </x:c>
      <x:c r="H20" s="192" t="s">
        <x:v>66</x:v>
      </x:c>
      <x:c r="I20" s="194"/>
      <x:c r="J20" s="192"/>
      <x:c r="K20" s="195"/>
      <x:c r="L20" s="194"/>
      <x:c r="M20" s="194"/>
      <x:c r="N20" s="192"/>
      <x:c r="O20" s="192"/>
      <x:c r="P20" s="192"/>
      <x:c r="Q20" s="192"/>
      <x:c r="R20" s="192"/>
      <x:c r="S20" s="192"/>
      <x:c r="T20" s="192"/>
      <x:c r="U20" s="192"/>
      <x:c r="V20" s="192"/>
      <x:c r="W20" s="192"/>
      <x:c r="X20" s="192"/>
      <x:c r="Y20" s="192"/>
      <x:c r="Z20" s="196"/>
      <x:c r="AA20" s="197"/>
      <x:c r="AB20" s="198"/>
      <x:c r="AC20" s="198"/>
      <x:c r="AD20" s="199"/>
      <x:c r="AE20" s="192"/>
      <x:c r="AF20" s="200"/>
      <x:c r="AG20" s="201"/>
      <x:c r="AH20" s="200"/>
    </x:row>
    <x:row r="21" s="202" customFormat="1" ht="35.25" hidden="1" customHeight="1">
      <x:c r="A21" s="210">
        <x:v>19</x:v>
      </x:c>
      <x:c r="B21" s="207" t="s">
        <x:v>974</x:v>
      </x:c>
      <x:c r="C21" s="192">
        <x:v>2025</x:v>
      </x:c>
      <x:c r="D21" s="192" t="s">
        <x:v>964</x:v>
      </x:c>
      <x:c r="E21" s="191" t="s">
        <x:v>975</x:v>
      </x:c>
      <x:c r="F21" s="192" t="s">
        <x:v>976</x:v>
      </x:c>
      <x:c r="G21" s="192"/>
      <x:c r="H21" s="192"/>
      <x:c r="I21" s="194" t="s">
        <x:v>977</x:v>
      </x:c>
      <x:c r="J21" s="192"/>
      <x:c r="K21" s="203"/>
      <x:c r="L21" s="194" t="s">
        <x:v>958</x:v>
      </x:c>
      <x:c r="M21" s="194"/>
      <x:c r="N21" s="192"/>
      <x:c r="O21" s="192"/>
      <x:c r="P21" s="192"/>
      <x:c r="Q21" s="192"/>
      <x:c r="R21" s="192"/>
      <x:c r="S21" s="192"/>
      <x:c r="T21" s="192"/>
      <x:c r="U21" s="192"/>
      <x:c r="V21" s="192"/>
      <x:c r="W21" s="192"/>
      <x:c r="X21" s="192"/>
      <x:c r="Y21" s="192"/>
      <x:c r="Z21" s="196"/>
      <x:c r="AA21" s="197"/>
      <x:c r="AB21" s="198"/>
      <x:c r="AC21" s="198"/>
      <x:c r="AD21" s="199"/>
      <x:c r="AE21" s="192"/>
      <x:c r="AF21" s="200"/>
      <x:c r="AG21" s="201"/>
      <x:c r="AH21" s="200"/>
    </x:row>
    <x:row r="22" s="202" customFormat="1" ht="24.75" hidden="1" customHeight="1">
      <x:c r="A22" s="210">
        <x:v>20</x:v>
      </x:c>
      <x:c r="B22" s="207" t="s">
        <x:v>978</x:v>
      </x:c>
      <x:c r="C22" s="192">
        <x:v>2024</x:v>
      </x:c>
      <x:c r="D22" s="192" t="s">
        <x:v>964</x:v>
      </x:c>
      <x:c r="E22" s="204" t="s">
        <x:v>979</x:v>
      </x:c>
      <x:c r="F22" s="192" t="s">
        <x:v>177</x:v>
      </x:c>
      <x:c r="G22" s="192"/>
      <x:c r="H22" s="192"/>
      <x:c r="I22" s="194"/>
      <x:c r="J22" s="192"/>
      <x:c r="K22" s="195"/>
      <x:c r="L22" s="194"/>
      <x:c r="M22" s="194"/>
      <x:c r="N22" s="192"/>
      <x:c r="O22" s="192"/>
      <x:c r="P22" s="192"/>
      <x:c r="Q22" s="192"/>
      <x:c r="R22" s="192"/>
      <x:c r="S22" s="192"/>
      <x:c r="T22" s="192"/>
      <x:c r="U22" s="192"/>
      <x:c r="V22" s="192"/>
      <x:c r="W22" s="192"/>
      <x:c r="X22" s="192"/>
      <x:c r="Y22" s="192"/>
      <x:c r="Z22" s="196"/>
      <x:c r="AA22" s="197"/>
      <x:c r="AB22" s="198"/>
      <x:c r="AC22" s="198"/>
      <x:c r="AD22" s="199"/>
      <x:c r="AE22" s="192"/>
      <x:c r="AF22" s="200"/>
      <x:c r="AG22" s="201"/>
      <x:c r="AH22" s="200"/>
    </x:row>
    <x:row r="23" s="187" customFormat="1" ht="27" hidden="1" customHeight="1">
      <x:c r="A23" s="176">
        <x:v>21</x:v>
      </x:c>
      <x:c r="B23" s="205" t="s">
        <x:v>980</x:v>
      </x:c>
      <x:c r="C23" s="178"/>
      <x:c r="D23" s="192" t="s">
        <x:v>964</x:v>
      </x:c>
      <x:c r="E23" s="177"/>
      <x:c r="F23" s="178"/>
      <x:c r="G23" s="178"/>
      <x:c r="H23" s="178"/>
      <x:c r="I23" s="179"/>
      <x:c r="J23" s="178"/>
      <x:c r="K23" s="180"/>
      <x:c r="L23" s="179"/>
      <x:c r="M23" s="179"/>
      <x:c r="N23" s="178"/>
      <x:c r="O23" s="178"/>
      <x:c r="P23" s="178"/>
      <x:c r="Q23" s="178"/>
      <x:c r="R23" s="178"/>
      <x:c r="S23" s="178"/>
      <x:c r="T23" s="178"/>
      <x:c r="U23" s="178"/>
      <x:c r="V23" s="178"/>
      <x:c r="W23" s="178"/>
      <x:c r="X23" s="178"/>
      <x:c r="Y23" s="178"/>
      <x:c r="Z23" s="181"/>
      <x:c r="AA23" s="182"/>
      <x:c r="AB23" s="183"/>
      <x:c r="AC23" s="183"/>
      <x:c r="AD23" s="184"/>
      <x:c r="AE23" s="178"/>
      <x:c r="AF23" s="185"/>
      <x:c r="AG23" s="186"/>
      <x:c r="AH23" s="185"/>
    </x:row>
    <x:row r="24" s="187" customFormat="1" ht="27.75" hidden="1" customHeight="1">
      <x:c r="A24" s="209">
        <x:v>22</x:v>
      </x:c>
      <x:c r="B24" s="205" t="s">
        <x:v>981</x:v>
      </x:c>
      <x:c r="C24" s="178"/>
      <x:c r="D24" s="192" t="s">
        <x:v>964</x:v>
      </x:c>
      <x:c r="E24" s="177"/>
      <x:c r="F24" s="178" t="s">
        <x:v>177</x:v>
      </x:c>
      <x:c r="G24" s="178"/>
      <x:c r="H24" s="178"/>
      <x:c r="I24" s="179"/>
      <x:c r="J24" s="178"/>
      <x:c r="K24" s="180"/>
      <x:c r="L24" s="179"/>
      <x:c r="M24" s="179"/>
      <x:c r="N24" s="178"/>
      <x:c r="O24" s="178"/>
      <x:c r="P24" s="178"/>
      <x:c r="Q24" s="178"/>
      <x:c r="R24" s="178"/>
      <x:c r="S24" s="178"/>
      <x:c r="T24" s="178"/>
      <x:c r="U24" s="178"/>
      <x:c r="V24" s="178"/>
      <x:c r="W24" s="178"/>
      <x:c r="X24" s="178"/>
      <x:c r="Y24" s="178"/>
      <x:c r="Z24" s="181"/>
      <x:c r="AA24" s="182"/>
      <x:c r="AB24" s="183"/>
      <x:c r="AC24" s="183"/>
      <x:c r="AD24" s="184"/>
      <x:c r="AE24" s="178"/>
      <x:c r="AF24" s="185"/>
      <x:c r="AG24" s="186"/>
      <x:c r="AH24" s="185"/>
    </x:row>
    <x:row r="25" s="202" customFormat="1" ht="26.25" hidden="1" customHeight="1">
      <x:c r="A25" s="208">
        <x:v>23</x:v>
      </x:c>
      <x:c r="B25" s="207" t="s">
        <x:v>982</x:v>
      </x:c>
      <x:c r="C25" s="206">
        <x:v>2024</x:v>
      </x:c>
      <x:c r="D25" s="192" t="s">
        <x:v>964</x:v>
      </x:c>
      <x:c r="E25" s="207"/>
      <x:c r="F25" s="192"/>
      <x:c r="G25" s="192"/>
      <x:c r="H25" s="192"/>
      <x:c r="I25" s="194"/>
      <x:c r="J25" s="192"/>
      <x:c r="K25" s="195"/>
      <x:c r="L25" s="194"/>
      <x:c r="M25" s="194"/>
      <x:c r="N25" s="192"/>
      <x:c r="O25" s="192"/>
      <x:c r="P25" s="192"/>
      <x:c r="Q25" s="192"/>
      <x:c r="R25" s="192"/>
      <x:c r="S25" s="192"/>
      <x:c r="T25" s="192"/>
      <x:c r="U25" s="192"/>
      <x:c r="V25" s="192"/>
      <x:c r="W25" s="192"/>
      <x:c r="X25" s="192"/>
      <x:c r="Y25" s="192"/>
      <x:c r="Z25" s="196"/>
      <x:c r="AA25" s="197"/>
      <x:c r="AB25" s="198"/>
      <x:c r="AC25" s="198"/>
      <x:c r="AD25" s="199"/>
      <x:c r="AE25" s="192"/>
      <x:c r="AF25" s="200"/>
      <x:c r="AG25" s="201"/>
      <x:c r="AH25" s="200"/>
    </x:row>
    <x:row r="26" s="202" customFormat="1" ht="81.75" hidden="1" customHeight="1">
      <x:c r="A26" s="217">
        <x:v>24</x:v>
      </x:c>
      <x:c r="B26" s="207" t="s">
        <x:v>983</x:v>
      </x:c>
      <x:c r="C26" s="192">
        <x:v>2025</x:v>
      </x:c>
      <x:c r="D26" s="192" t="s">
        <x:v>964</x:v>
      </x:c>
      <x:c r="E26" s="193" t="s">
        <x:v>984</x:v>
      </x:c>
      <x:c r="F26" s="192" t="s">
        <x:v>438</x:v>
      </x:c>
      <x:c r="G26" s="192"/>
      <x:c r="H26" s="206" t="s">
        <x:v>985</x:v>
      </x:c>
      <x:c r="I26" s="193" t="s">
        <x:v>986</x:v>
      </x:c>
      <x:c r="J26" s="218"/>
      <x:c r="K26" s="219" t="s">
        <x:v>987</x:v>
      </x:c>
      <x:c r="L26" s="220" t="s">
        <x:v>964</x:v>
      </x:c>
      <x:c r="M26" s="194"/>
      <x:c r="N26" s="192"/>
      <x:c r="O26" s="192"/>
      <x:c r="P26" s="192"/>
      <x:c r="Q26" s="192"/>
      <x:c r="R26" s="192"/>
      <x:c r="S26" s="192"/>
      <x:c r="T26" s="192"/>
      <x:c r="U26" s="192"/>
      <x:c r="V26" s="192"/>
      <x:c r="W26" s="192"/>
      <x:c r="X26" s="192"/>
      <x:c r="Y26" s="192"/>
      <x:c r="Z26" s="196"/>
      <x:c r="AA26" s="197"/>
      <x:c r="AB26" s="198"/>
      <x:c r="AC26" s="198"/>
      <x:c r="AD26" s="199"/>
      <x:c r="AE26" s="192"/>
      <x:c r="AF26" s="200"/>
      <x:c r="AG26" s="201"/>
      <x:c r="AH26" s="200"/>
    </x:row>
    <x:row r="27" s="187" customFormat="1" ht="63.75" customHeight="1">
      <x:c r="A27" s="223">
        <x:v>25</x:v>
      </x:c>
      <x:c r="B27" s="177" t="s">
        <x:v>988</x:v>
      </x:c>
      <x:c r="C27" s="178">
        <x:v>2025</x:v>
      </x:c>
      <x:c r="D27" s="192" t="s">
        <x:v>964</x:v>
      </x:c>
      <x:c r="E27" s="222" t="s">
        <x:v>989</x:v>
      </x:c>
      <x:c r="F27" s="178" t="s">
        <x:v>89</x:v>
      </x:c>
      <x:c r="G27" s="178" t="s">
        <x:v>896</x:v>
      </x:c>
      <x:c r="H27" s="178" t="s">
        <x:v>66</x:v>
      </x:c>
      <x:c r="I27" s="221" t="s">
        <x:v>990</x:v>
      </x:c>
      <x:c r="J27" s="178"/>
      <x:c r="K27" s="221" t="s">
        <x:v>991</x:v>
      </x:c>
      <x:c r="L27" s="179"/>
      <x:c r="M27" s="179"/>
      <x:c r="N27" s="178"/>
      <x:c r="O27" s="178"/>
      <x:c r="P27" s="178"/>
      <x:c r="Q27" s="178"/>
      <x:c r="R27" s="178"/>
      <x:c r="S27" s="178"/>
      <x:c r="T27" s="178"/>
      <x:c r="U27" s="178"/>
      <x:c r="V27" s="178"/>
      <x:c r="W27" s="178"/>
      <x:c r="X27" s="178"/>
      <x:c r="Y27" s="178"/>
      <x:c r="Z27" s="181"/>
      <x:c r="AA27" s="182"/>
      <x:c r="AB27" s="183"/>
      <x:c r="AC27" s="183"/>
      <x:c r="AD27" s="184"/>
      <x:c r="AE27" s="178"/>
      <x:c r="AF27" s="185"/>
      <x:c r="AG27" s="186"/>
      <x:c r="AH27" s="185"/>
    </x:row>
    <x:row r="28" s="187" customFormat="1" ht="27" hidden="1" customHeight="1">
      <x:c r="A28" s="176">
        <x:v>26</x:v>
      </x:c>
      <x:c r="B28" s="187" t="s">
        <x:v>992</x:v>
      </x:c>
      <x:c r="C28" s="227">
        <x:v>2025</x:v>
      </x:c>
      <x:c r="D28" s="104" t="s">
        <x:v>964</x:v>
      </x:c>
      <x:c r="E28" s="228"/>
      <x:c r="F28" s="176" t="s">
        <x:v>993</x:v>
      </x:c>
      <x:c r="G28" s="176"/>
      <x:c r="J28" s="176"/>
    </x:row>
    <x:row r="29">
      <x:c r="B29" s="9"/>
      <x:c r="C29" s="2"/>
      <x:c r="D29" s="2"/>
      <x:c r="E29" s="9"/>
      <x:c r="F29" s="2"/>
      <x:c r="G29" s="2"/>
      <x:c r="H29" s="2"/>
      <x:c r="I29" s="18"/>
      <x:c r="J29" s="2"/>
      <x:c r="K29" s="142"/>
      <x:c r="L29" s="18"/>
      <x:c r="M29" s="18"/>
      <x:c r="N29" s="2"/>
      <x:c r="O29" s="88"/>
      <x:c r="P29" s="88"/>
      <x:c r="Q29" s="88"/>
      <x:c r="R29" s="88"/>
      <x:c r="S29" s="88"/>
      <x:c r="T29" s="88"/>
      <x:c r="U29" s="88"/>
      <x:c r="V29" s="88"/>
      <x:c r="W29" s="88"/>
      <x:c r="X29" s="88"/>
      <x:c r="Y29" s="88"/>
      <x:c r="Z29" s="156"/>
      <x:c r="AA29" s="157"/>
      <x:c r="AB29" s="158"/>
      <x:c r="AC29" s="158"/>
      <x:c r="AD29" s="159"/>
      <x:c r="AE29" s="2"/>
      <x:c r="AF29" s="123"/>
      <x:c r="AG29" s="125"/>
      <x:c r="AH29" s="123"/>
    </x:row>
    <x:row r="30">
      <x:c r="B30" s="9"/>
      <x:c r="C30" s="2"/>
      <x:c r="D30" s="2"/>
      <x:c r="E30" s="9"/>
      <x:c r="F30" s="2"/>
      <x:c r="G30" s="2"/>
      <x:c r="H30" s="2"/>
      <x:c r="I30" s="18"/>
      <x:c r="J30" s="2"/>
      <x:c r="K30" s="142"/>
      <x:c r="L30" s="18"/>
      <x:c r="M30" s="18"/>
      <x:c r="N30" s="2"/>
      <x:c r="O30" s="6"/>
      <x:c r="P30" s="6"/>
      <x:c r="Q30" s="6"/>
      <x:c r="R30" s="6"/>
      <x:c r="S30" s="6"/>
      <x:c r="T30" s="6"/>
      <x:c r="U30" s="6"/>
      <x:c r="V30" s="6"/>
      <x:c r="W30" s="6"/>
      <x:c r="X30" s="6"/>
      <x:c r="Y30" s="6"/>
      <x:c r="Z30" s="156"/>
      <x:c r="AA30" s="157"/>
      <x:c r="AB30" s="158"/>
      <x:c r="AC30" s="158"/>
      <x:c r="AD30" s="159"/>
      <x:c r="AE30" s="2"/>
      <x:c r="AF30" s="58"/>
      <x:c r="AG30" s="68"/>
      <x:c r="AH30" s="58"/>
    </x:row>
    <x:row r="31">
      <x:c r="B31" s="9"/>
      <x:c r="C31" s="2"/>
      <x:c r="D31" s="2"/>
      <x:c r="E31" s="9"/>
      <x:c r="F31" s="2"/>
      <x:c r="G31" s="2"/>
      <x:c r="H31" s="2"/>
      <x:c r="I31" s="18"/>
      <x:c r="J31" s="2"/>
      <x:c r="K31" s="142"/>
      <x:c r="L31" s="18"/>
      <x:c r="M31" s="18"/>
      <x:c r="N31" s="2"/>
      <x:c r="O31" s="6"/>
      <x:c r="P31" s="6"/>
      <x:c r="Q31" s="6"/>
      <x:c r="R31" s="6"/>
      <x:c r="S31" s="6"/>
      <x:c r="T31" s="6"/>
      <x:c r="U31" s="6"/>
      <x:c r="V31" s="6"/>
      <x:c r="W31" s="6"/>
      <x:c r="X31" s="6"/>
      <x:c r="Y31" s="6"/>
      <x:c r="Z31" s="156"/>
      <x:c r="AA31" s="157"/>
      <x:c r="AB31" s="158"/>
      <x:c r="AC31" s="158"/>
      <x:c r="AD31" s="159"/>
      <x:c r="AE31" s="2"/>
      <x:c r="AF31" s="58"/>
      <x:c r="AG31" s="68"/>
      <x:c r="AH31" s="58"/>
    </x:row>
    <x:row r="32" ht="28.799999237060547">
      <x:c r="A32" s="235" t="s">
        <x:v>837</x:v>
      </x:c>
      <x:c r="B32" s="235"/>
      <x:c r="O32" s="30" t="s">
        <x:v>452</x:v>
      </x:c>
      <x:c r="P32" s="30" t="n">
        <x:f t="shared" ref="P32:Y32" si="1">COUNTIF(P4:P16, "X")</x:f>
        <x:v>1</x:v>
      </x:c>
      <x:c r="Q32" s="30">
        <x:f t="shared" si="1"/>
        <x:v>7</x:v>
      </x:c>
      <x:c r="R32" s="30">
        <x:f t="shared" si="1"/>
        <x:v>1</x:v>
      </x:c>
      <x:c r="S32" s="30">
        <x:f t="shared" si="1"/>
        <x:v>2</x:v>
      </x:c>
      <x:c r="T32" s="30">
        <x:f t="shared" si="1"/>
        <x:v>0</x:v>
      </x:c>
      <x:c r="U32" s="30">
        <x:f t="shared" si="1"/>
        <x:v>1</x:v>
      </x:c>
      <x:c r="V32" s="30">
        <x:f t="shared" si="1"/>
        <x:v>0</x:v>
      </x:c>
      <x:c r="W32" s="30">
        <x:f t="shared" si="1"/>
        <x:v>0</x:v>
      </x:c>
      <x:c r="X32" s="30">
        <x:f t="shared" si="1"/>
        <x:v>0</x:v>
      </x:c>
      <x:c r="Y32" s="30">
        <x:f t="shared" si="1"/>
        <x:v>0</x:v>
      </x:c>
      <x:c r="Z32" s="12"/>
      <x:c r="AF32" s="57" t="s">
        <x:v>994</x:v>
      </x:c>
      <x:c r="AG32" s="59" t="n">
        <x:f>AG16+AG15+AG6+AG5+AG4</x:f>
        <x:v>16211.19</x:v>
      </x:c>
      <x:c r="AH32" s="57" t="n">
        <x:f>499986+150000+45608+17392</x:f>
        <x:v>712986</x:v>
      </x:c>
    </x:row>
    <x:row r="33">
      <x:c r="A33" s="39"/>
      <x:c r="B33" s="9" t="s">
        <x:v>23</x:v>
      </x:c>
      <x:c r="O33" s="31" t="s">
        <x:v>455</x:v>
      </x:c>
      <x:c r="P33" s="229" t="n">
        <x:f>SUM(P32:Y32)</x:f>
        <x:v>12</x:v>
      </x:c>
      <x:c r="Q33" s="230"/>
      <x:c r="R33" s="230"/>
      <x:c r="S33" s="230"/>
      <x:c r="T33" s="230"/>
      <x:c r="U33" s="230"/>
      <x:c r="V33" s="230"/>
      <x:c r="W33" s="230"/>
      <x:c r="X33" s="230"/>
      <x:c r="Y33" s="231"/>
      <x:c r="AB33" s="232" t="s">
        <x:v>456</x:v>
      </x:c>
      <x:c r="AC33" s="233"/>
      <x:c r="AD33" s="234"/>
    </x:row>
    <x:row r="34">
      <x:c r="A34" s="40"/>
      <x:c r="B34" s="9" t="s">
        <x:v>24</x:v>
      </x:c>
      <x:c r="AB34" s="27"/>
      <x:c r="AC34" s="15" t="s">
        <x:v>457</x:v>
      </x:c>
      <x:c r="AD34" s="15" t="s">
        <x:v>458</x:v>
      </x:c>
    </x:row>
    <x:row r="35">
      <x:c r="A35" s="67"/>
      <x:c r="B35" s="9" t="s">
        <x:v>25</x:v>
      </x:c>
      <x:c r="AB35" s="28"/>
      <x:c r="AC35" s="15" t="s">
        <x:v>459</x:v>
      </x:c>
      <x:c r="AD35" s="15" t="s">
        <x:v>460</x:v>
      </x:c>
    </x:row>
    <x:row r="36">
      <x:c r="A36" s="41"/>
      <x:c r="B36" s="9" t="s">
        <x:v>26</x:v>
      </x:c>
      <x:c r="AB36" s="29"/>
      <x:c r="AC36" s="15" t="s">
        <x:v>461</x:v>
      </x:c>
      <x:c r="AD36" s="15" t="s">
        <x:v>462</x:v>
      </x:c>
    </x:row>
    <x:row r="37">
      <x:c r="A37" s="43"/>
      <x:c r="B37" s="9" t="s">
        <x:v>27</x:v>
      </x:c>
      <x:c r="AB37" s="17"/>
      <x:c r="AC37" s="15" t="s">
        <x:v>463</x:v>
      </x:c>
      <x:c r="AD37" s="15" t="s">
        <x:v>464</x:v>
      </x:c>
    </x:row>
    <x:row r="38">
      <x:c r="A38" s="42"/>
      <x:c r="B38" s="9" t="s">
        <x:v>28</x:v>
      </x:c>
    </x:row>
    <x:row r="39">
      <x:c r="A39" s="44"/>
      <x:c r="B39" s="9" t="s">
        <x:v>29</x:v>
      </x:c>
    </x:row>
    <x:row r="40">
      <x:c r="A40" s="47"/>
      <x:c r="B40" s="9" t="s">
        <x:v>30</x:v>
      </x:c>
    </x:row>
    <x:row r="41">
      <x:c r="A41" s="46"/>
      <x:c r="B41" s="9" t="s">
        <x:v>31</x:v>
      </x:c>
    </x:row>
    <x:row r="42">
      <x:c r="A42" s="45"/>
      <x:c r="B42" s="9" t="s">
        <x:v>32</x:v>
      </x:c>
    </x:row>
  </x:sheetData>
  <x:mergeCells>
    <x:mergeCell ref="AF2:AG2"/>
    <x:mergeCell ref="AH2:AH3"/>
    <x:mergeCell ref="AF11:AF14"/>
    <x:mergeCell ref="AH11:AH14"/>
    <x:mergeCell ref="AG11:AG14"/>
    <x:mergeCell ref="P33:Y33"/>
    <x:mergeCell ref="AB33:AD33"/>
    <x:mergeCell ref="AE2:AE3"/>
    <x:mergeCell ref="J2:J3"/>
    <x:mergeCell ref="K2:K3"/>
    <x:mergeCell ref="L2:L3"/>
    <x:mergeCell ref="M2:M3"/>
    <x:mergeCell ref="N2:N3"/>
    <x:mergeCell ref="O2:O3"/>
    <x:mergeCell ref="P2:Y2"/>
    <x:mergeCell ref="Z2:Z3"/>
    <x:mergeCell ref="AA2:AD2"/>
    <x:mergeCell ref="A32:B32"/>
    <x:mergeCell ref="A1:Z1"/>
    <x:mergeCell ref="A2:A3"/>
    <x:mergeCell ref="B2:B3"/>
    <x:mergeCell ref="E2:E3"/>
    <x:mergeCell ref="F2:F3"/>
    <x:mergeCell ref="G2:G3"/>
    <x:mergeCell ref="H2:H3"/>
    <x:mergeCell ref="I2:I3"/>
    <x:mergeCell ref="C2:C3"/>
    <x:mergeCell ref="D2:D3"/>
  </x:mergeCells>
  <x:pageMargins left="0.7" right="0.7" top="0.75" bottom="0.75" header="0.3" footer="0.3"/>
</x:worksheet>
</file>

<file path=xl/worksheets/sheet4.xml><?xml version="1.0" encoding="utf-8"?>
<x:worksheet xmlns:x="http://schemas.openxmlformats.org/spreadsheetml/2006/main">
  <x:sheetFormatPr baseColWidth="10" defaultColWidth="11.44140625" defaultRowHeight="14.399999618530273"/>
  <x:cols>
    <x:col min="1" max="1" width="5.33203125" style="1" customWidth="1"/>
    <x:col min="2" max="2" width="29" style="13" customWidth="1"/>
    <x:col min="3" max="3" width="59.109375" style="13" customWidth="1"/>
    <x:col min="4" max="4" width="9.44140625" style="13" hidden="1" customWidth="1"/>
    <x:col min="5" max="5" width="33.6640625" style="11" customWidth="1"/>
    <x:col min="6" max="6" width="140.6640625" style="11" customWidth="1"/>
    <x:col min="7" max="7" width="27" style="11" customWidth="1"/>
    <x:col min="8" max="10" width="25.6640625" style="11" customWidth="1"/>
    <x:col min="11" max="11" width="20.88671875" style="11" customWidth="1"/>
    <x:col min="12" max="12" width="14.33203125" style="11" customWidth="1"/>
    <x:col min="13" max="13" width="18" style="11" customWidth="1"/>
    <x:col min="14" max="14" width="16.6640625" style="11" customWidth="1"/>
    <x:col min="15" max="15" width="15.44140625" style="11" customWidth="1"/>
    <x:col min="16" max="16" width="16.33203125" style="11" customWidth="1"/>
    <x:col min="17" max="17" width="17.109375" style="11" customWidth="1"/>
    <x:col min="18" max="18" width="26" style="11" customWidth="1"/>
    <x:col min="19" max="19" width="22.44140625" style="11" customWidth="1"/>
    <x:col min="20" max="20" width="18.44140625" style="11" customWidth="1"/>
    <x:col min="21" max="16384" width="11.44140625" style="1" customWidth="0"/>
  </x:cols>
  <x:sheetData>
    <x:row r="1" ht="33.599998474121094">
      <x:c r="A1" s="255" t="s">
        <x:v>995</x:v>
      </x:c>
      <x:c r="B1" s="255"/>
      <x:c r="C1" s="255"/>
      <x:c r="D1" s="255"/>
      <x:c r="E1" s="255"/>
      <x:c r="F1" s="255"/>
      <x:c r="G1" s="255"/>
      <x:c r="H1" s="255"/>
      <x:c r="I1" s="255"/>
      <x:c r="J1" s="255"/>
      <x:c r="K1" s="255"/>
      <x:c r="L1" s="255"/>
      <x:c r="M1" s="255"/>
      <x:c r="N1" s="255"/>
      <x:c r="O1" s="255"/>
      <x:c r="P1" s="255"/>
      <x:c r="Q1" s="255"/>
      <x:c r="R1" s="255"/>
      <x:c r="S1" s="255"/>
      <x:c r="T1" s="255"/>
    </x:row>
    <x:row r="2" s="2" customFormat="1" ht="14.399999618530273" customHeight="1">
      <x:c r="A2" s="239" t="s">
        <x:v>0</x:v>
      </x:c>
      <x:c r="B2" s="237" t="s">
        <x:v>996</x:v>
      </x:c>
      <x:c r="C2" s="237" t="s">
        <x:v>5</x:v>
      </x:c>
      <x:c r="D2" s="257" t="s">
        <x:v>997</x:v>
      </x:c>
      <x:c r="E2" s="257"/>
      <x:c r="F2" s="237" t="s">
        <x:v>998</x:v>
      </x:c>
      <x:c r="G2" s="237" t="s">
        <x:v>999</x:v>
      </x:c>
      <x:c r="H2" s="237" t="s">
        <x:v>470</x:v>
      </x:c>
      <x:c r="I2" s="237" t="s">
        <x:v>17</x:v>
      </x:c>
      <x:c r="J2" s="237" t="s">
        <x:v>21</x:v>
      </x:c>
      <x:c r="K2" s="241" t="s">
        <x:v>1000</x:v>
      </x:c>
      <x:c r="L2" s="242"/>
      <x:c r="M2" s="242"/>
      <x:c r="N2" s="242"/>
      <x:c r="O2" s="242"/>
      <x:c r="P2" s="242"/>
      <x:c r="Q2" s="242"/>
      <x:c r="R2" s="242"/>
      <x:c r="S2" s="242"/>
      <x:c r="T2" s="243"/>
    </x:row>
    <x:row r="3" s="2" customFormat="1" ht="43.20000076293945">
      <x:c r="A3" s="240"/>
      <x:c r="B3" s="238"/>
      <x:c r="C3" s="256"/>
      <x:c r="D3" s="257"/>
      <x:c r="E3" s="257"/>
      <x:c r="F3" s="256"/>
      <x:c r="G3" s="256"/>
      <x:c r="H3" s="256"/>
      <x:c r="I3" s="238"/>
      <x:c r="J3" s="238"/>
      <x:c r="K3" s="3" t="s">
        <x:v>23</x:v>
      </x:c>
      <x:c r="L3" s="3" t="s">
        <x:v>24</x:v>
      </x:c>
      <x:c r="M3" s="3" t="s">
        <x:v>25</x:v>
      </x:c>
      <x:c r="N3" s="3" t="s">
        <x:v>26</x:v>
      </x:c>
      <x:c r="O3" s="3" t="s">
        <x:v>27</x:v>
      </x:c>
      <x:c r="P3" s="3" t="s">
        <x:v>28</x:v>
      </x:c>
      <x:c r="Q3" s="3" t="s">
        <x:v>29</x:v>
      </x:c>
      <x:c r="R3" s="3" t="s">
        <x:v>30</x:v>
      </x:c>
      <x:c r="S3" s="3" t="s">
        <x:v>31</x:v>
      </x:c>
      <x:c r="T3" s="3" t="s">
        <x:v>32</x:v>
      </x:c>
    </x:row>
    <x:row r="4" ht="69" customHeight="1">
      <x:c r="A4" s="69">
        <x:v>1</x:v>
      </x:c>
      <x:c r="B4" s="20" t="s">
        <x:v>1001</x:v>
      </x:c>
      <x:c r="C4" s="20" t="s">
        <x:v>1002</x:v>
      </x:c>
      <x:c r="D4" s="6" t="e">
        <x:f>[1]Becarios!A10</x:f>
        <x:v>#NAME?</x:v>
      </x:c>
      <x:c r="E4" s="6" t="e">
        <x:f>[1]Becarios!B10</x:f>
        <x:v>#NAME?</x:v>
      </x:c>
      <x:c r="F4" s="60" t="s">
        <x:v>1003</x:v>
      </x:c>
      <x:c r="G4" s="6" t="s">
        <x:v>653</x:v>
      </x:c>
      <x:c r="H4" s="6"/>
      <x:c r="I4" s="6" t="s">
        <x:v>1004</x:v>
      </x:c>
      <x:c r="J4" s="6" t="s">
        <x:v>513</x:v>
      </x:c>
      <x:c r="K4" s="58"/>
      <x:c r="L4" s="58"/>
      <x:c r="M4" s="58" t="s">
        <x:v>60</x:v>
      </x:c>
      <x:c r="N4" s="58"/>
      <x:c r="O4" s="58"/>
      <x:c r="P4" s="58"/>
      <x:c r="Q4" s="58"/>
      <x:c r="R4" s="58"/>
      <x:c r="S4" s="58"/>
      <x:c r="T4" s="58"/>
    </x:row>
    <x:row r="5" ht="221.39999389648438" customHeight="1">
      <x:c r="A5" s="69">
        <x:v>2</x:v>
      </x:c>
      <x:c r="B5" s="20" t="s">
        <x:v>1005</x:v>
      </x:c>
      <x:c r="C5" s="20" t="s">
        <x:v>1006</x:v>
      </x:c>
      <x:c r="D5" s="6" t="e">
        <x:f>[1]Becarios!A10</x:f>
        <x:v>#NAME?</x:v>
      </x:c>
      <x:c r="E5" s="6" t="e">
        <x:f>[1]Becarios!B10</x:f>
        <x:v>#NAME?</x:v>
      </x:c>
      <x:c r="F5" s="60" t="s">
        <x:v>1007</x:v>
      </x:c>
      <x:c r="G5" s="6" t="s">
        <x:v>653</x:v>
      </x:c>
      <x:c r="H5" s="6"/>
      <x:c r="I5" s="6" t="s">
        <x:v>1008</x:v>
      </x:c>
      <x:c r="J5" s="6" t="s">
        <x:v>513</x:v>
      </x:c>
      <x:c r="K5" s="58"/>
      <x:c r="L5" s="58"/>
      <x:c r="M5" s="58" t="s">
        <x:v>60</x:v>
      </x:c>
      <x:c r="N5" s="58"/>
      <x:c r="O5" s="58"/>
      <x:c r="P5" s="58"/>
      <x:c r="Q5" s="58"/>
      <x:c r="R5" s="58"/>
      <x:c r="S5" s="58"/>
      <x:c r="T5" s="58"/>
    </x:row>
    <x:row r="6" ht="135.60000610351562" customHeight="1">
      <x:c r="A6" s="69">
        <x:v>3</x:v>
      </x:c>
      <x:c r="B6" s="20" t="s">
        <x:v>1009</x:v>
      </x:c>
      <x:c r="C6" s="20" t="s">
        <x:v>1010</x:v>
      </x:c>
      <x:c r="D6" s="6" t="e">
        <x:f>[1]Becarios!A10</x:f>
        <x:v>#NAME?</x:v>
      </x:c>
      <x:c r="E6" s="6" t="e">
        <x:f>[1]Becarios!B10</x:f>
        <x:v>#NAME?</x:v>
      </x:c>
      <x:c r="F6" s="60" t="s">
        <x:v>1011</x:v>
      </x:c>
      <x:c r="G6" s="6" t="s">
        <x:v>653</x:v>
      </x:c>
      <x:c r="H6" s="6"/>
      <x:c r="I6" s="6" t="s">
        <x:v>1012</x:v>
      </x:c>
      <x:c r="J6" s="6" t="s">
        <x:v>1013</x:v>
      </x:c>
      <x:c r="K6" s="58"/>
      <x:c r="L6" s="58"/>
      <x:c r="M6" s="58" t="s">
        <x:v>60</x:v>
      </x:c>
      <x:c r="N6" s="58"/>
      <x:c r="O6" s="58"/>
      <x:c r="P6" s="58"/>
      <x:c r="Q6" s="58"/>
      <x:c r="R6" s="58"/>
      <x:c r="S6" s="58"/>
      <x:c r="T6" s="58"/>
    </x:row>
    <x:row r="7" ht="77.4000015258789" customHeight="1">
      <x:c r="A7" s="69">
        <x:v>4</x:v>
      </x:c>
      <x:c r="B7" s="20" t="s">
        <x:v>1014</x:v>
      </x:c>
      <x:c r="C7" s="20" t="s">
        <x:v>1015</x:v>
      </x:c>
      <x:c r="D7" s="6" t="e">
        <x:f>[1]Becarios!A10</x:f>
        <x:v>#NAME?</x:v>
      </x:c>
      <x:c r="E7" s="6" t="e">
        <x:f>[1]Becarios!B10</x:f>
        <x:v>#NAME?</x:v>
      </x:c>
      <x:c r="F7" s="60" t="s">
        <x:v>1016</x:v>
      </x:c>
      <x:c r="G7" s="6" t="s">
        <x:v>653</x:v>
      </x:c>
      <x:c r="H7" s="6"/>
      <x:c r="I7" s="6" t="s">
        <x:v>1017</x:v>
      </x:c>
      <x:c r="J7" s="6" t="s">
        <x:v>1018</x:v>
      </x:c>
      <x:c r="K7" s="58"/>
      <x:c r="L7" s="58"/>
      <x:c r="M7" s="58" t="s">
        <x:v>60</x:v>
      </x:c>
      <x:c r="N7" s="58"/>
      <x:c r="O7" s="58"/>
      <x:c r="P7" s="58"/>
      <x:c r="Q7" s="58"/>
      <x:c r="R7" s="58"/>
      <x:c r="S7" s="58"/>
      <x:c r="T7" s="58"/>
    </x:row>
    <x:row r="8" ht="131.39999389648438" customHeight="1">
      <x:c r="A8" s="69">
        <x:v>5</x:v>
      </x:c>
      <x:c r="B8" s="20" t="s">
        <x:v>1019</x:v>
      </x:c>
      <x:c r="C8" s="20" t="s">
        <x:v>1020</x:v>
      </x:c>
      <x:c r="D8" s="6" t="e">
        <x:f>[1]Becarios!A10</x:f>
        <x:v>#NAME?</x:v>
      </x:c>
      <x:c r="E8" s="6" t="e">
        <x:f>[1]Becarios!B10</x:f>
        <x:v>#NAME?</x:v>
      </x:c>
      <x:c r="F8" s="60" t="s">
        <x:v>1021</x:v>
      </x:c>
      <x:c r="G8" s="6" t="s">
        <x:v>653</x:v>
      </x:c>
      <x:c r="H8" s="6"/>
      <x:c r="I8" s="6" t="s">
        <x:v>1004</x:v>
      </x:c>
      <x:c r="J8" s="6" t="s">
        <x:v>513</x:v>
      </x:c>
      <x:c r="K8" s="58"/>
      <x:c r="L8" s="58"/>
      <x:c r="M8" s="58" t="s">
        <x:v>60</x:v>
      </x:c>
      <x:c r="N8" s="58"/>
      <x:c r="O8" s="58"/>
      <x:c r="P8" s="58"/>
      <x:c r="Q8" s="58"/>
      <x:c r="R8" s="58"/>
      <x:c r="S8" s="58"/>
      <x:c r="T8" s="58"/>
    </x:row>
    <x:row r="9" ht="125.4000015258789" customHeight="1">
      <x:c r="A9" s="48">
        <x:v>6</x:v>
      </x:c>
      <x:c r="B9" s="20" t="s">
        <x:v>1022</x:v>
      </x:c>
      <x:c r="C9" s="20" t="s">
        <x:v>1023</x:v>
      </x:c>
      <x:c r="D9" s="6" t="e">
        <x:f>[1]Becarios!A8</x:f>
        <x:v>#NAME?</x:v>
      </x:c>
      <x:c r="E9" s="6" t="e">
        <x:f>[1]Becarios!B8</x:f>
        <x:v>#NAME?</x:v>
      </x:c>
      <x:c r="F9" s="60" t="s">
        <x:v>1024</x:v>
      </x:c>
      <x:c r="G9" s="6" t="s">
        <x:v>1025</x:v>
      </x:c>
      <x:c r="H9" s="6"/>
      <x:c r="I9" s="6" t="s">
        <x:v>101</x:v>
      </x:c>
      <x:c r="J9" s="6" t="s">
        <x:v>1026</x:v>
      </x:c>
      <x:c r="K9" s="58"/>
      <x:c r="L9" s="58"/>
      <x:c r="M9" s="58"/>
      <x:c r="N9" s="58"/>
      <x:c r="O9" s="58"/>
      <x:c r="P9" s="58"/>
      <x:c r="Q9" s="58"/>
      <x:c r="R9" s="58" t="s">
        <x:v>60</x:v>
      </x:c>
      <x:c r="S9" s="58"/>
      <x:c r="T9" s="58"/>
    </x:row>
    <x:row r="10" ht="88.19999694824219" customHeight="1">
      <x:c r="A10" s="48">
        <x:v>7</x:v>
      </x:c>
      <x:c r="B10" s="20" t="s">
        <x:v>1027</x:v>
      </x:c>
      <x:c r="C10" s="20" t="s">
        <x:v>1028</x:v>
      </x:c>
      <x:c r="D10" s="6" t="e">
        <x:f>[1]Becarios!A8</x:f>
        <x:v>#NAME?</x:v>
      </x:c>
      <x:c r="E10" s="6" t="e">
        <x:f>[1]Becarios!B8</x:f>
        <x:v>#NAME?</x:v>
      </x:c>
      <x:c r="F10" s="60" t="s">
        <x:v>1029</x:v>
      </x:c>
      <x:c r="G10" s="6" t="s">
        <x:v>1030</x:v>
      </x:c>
      <x:c r="H10" s="6"/>
      <x:c r="I10" s="6" t="s">
        <x:v>1031</x:v>
      </x:c>
      <x:c r="J10" s="6" t="s">
        <x:v>513</x:v>
      </x:c>
      <x:c r="K10" s="58"/>
      <x:c r="L10" s="58"/>
      <x:c r="M10" s="58"/>
      <x:c r="N10" s="58"/>
      <x:c r="O10" s="58"/>
      <x:c r="P10" s="58"/>
      <x:c r="Q10" s="58"/>
      <x:c r="R10" s="58" t="s">
        <x:v>60</x:v>
      </x:c>
      <x:c r="S10" s="58"/>
      <x:c r="T10" s="58"/>
    </x:row>
    <x:row r="11" ht="144">
      <x:c r="A11" s="53">
        <x:v>8</x:v>
      </x:c>
      <x:c r="B11" s="20" t="s">
        <x:v>145</x:v>
      </x:c>
      <x:c r="C11" s="20" t="s">
        <x:v>1032</x:v>
      </x:c>
      <x:c r="D11" s="6" t="e">
        <x:f>[1]Becarios!A11</x:f>
        <x:v>#NAME?</x:v>
      </x:c>
      <x:c r="E11" s="6" t="e">
        <x:f>[1]Becarios!B11</x:f>
        <x:v>#NAME?</x:v>
      </x:c>
      <x:c r="F11" s="60" t="s">
        <x:v>1033</x:v>
      </x:c>
      <x:c r="G11" s="6"/>
      <x:c r="H11" s="6"/>
      <x:c r="I11" s="6" t="s">
        <x:v>1034</x:v>
      </x:c>
      <x:c r="J11" s="6" t="s">
        <x:v>1035</x:v>
      </x:c>
      <x:c r="K11" s="58"/>
      <x:c r="L11" s="58"/>
      <x:c r="M11" s="58"/>
      <x:c r="N11" s="58"/>
      <x:c r="O11" s="58" t="s">
        <x:v>60</x:v>
      </x:c>
      <x:c r="P11" s="58"/>
      <x:c r="Q11" s="58"/>
      <x:c r="R11" s="58"/>
      <x:c r="S11" s="58"/>
      <x:c r="T11" s="58"/>
    </x:row>
    <x:row r="12" ht="129.60000610351562" customHeight="1">
      <x:c r="A12" s="69">
        <x:v>9</x:v>
      </x:c>
      <x:c r="B12" s="20" t="s">
        <x:v>186</x:v>
      </x:c>
      <x:c r="C12" s="20" t="s">
        <x:v>1036</x:v>
      </x:c>
      <x:c r="D12" s="6" t="e">
        <x:f>[1]Becarios!A15</x:f>
        <x:v>#NAME?</x:v>
      </x:c>
      <x:c r="E12" s="6" t="e">
        <x:f>[1]Becarios!B15</x:f>
        <x:v>#NAME?</x:v>
      </x:c>
      <x:c r="F12" s="60" t="s">
        <x:v>1037</x:v>
      </x:c>
      <x:c r="G12" s="6"/>
      <x:c r="H12" s="6"/>
      <x:c r="I12" s="6" t="s">
        <x:v>1038</x:v>
      </x:c>
      <x:c r="J12" s="6" t="s">
        <x:v>513</x:v>
      </x:c>
      <x:c r="K12" s="58"/>
      <x:c r="L12" s="58"/>
      <x:c r="M12" s="58" t="s">
        <x:v>60</x:v>
      </x:c>
      <x:c r="N12" s="58"/>
      <x:c r="O12" s="58"/>
      <x:c r="P12" s="58"/>
      <x:c r="Q12" s="58"/>
      <x:c r="R12" s="58"/>
      <x:c r="S12" s="58"/>
      <x:c r="T12" s="58"/>
    </x:row>
    <x:row r="13" ht="148.1999969482422" customHeight="1">
      <x:c r="A13" s="50">
        <x:v>10</x:v>
      </x:c>
      <x:c r="B13" s="20" t="s">
        <x:v>1039</x:v>
      </x:c>
      <x:c r="C13" s="20" t="s">
        <x:v>1040</x:v>
      </x:c>
      <x:c r="D13" s="6" t="e">
        <x:f>[1]Becarios!A17</x:f>
        <x:v>#NAME?</x:v>
      </x:c>
      <x:c r="E13" s="6" t="e">
        <x:f>[1]Becarios!B17</x:f>
        <x:v>#NAME?</x:v>
      </x:c>
      <x:c r="F13" s="60" t="s">
        <x:v>1041</x:v>
      </x:c>
      <x:c r="G13" s="6" t="s">
        <x:v>496</x:v>
      </x:c>
      <x:c r="H13" s="6"/>
      <x:c r="I13" s="6" t="s">
        <x:v>1042</x:v>
      </x:c>
      <x:c r="J13" s="6" t="s">
        <x:v>1043</x:v>
      </x:c>
      <x:c r="K13" s="58"/>
      <x:c r="L13" s="58"/>
      <x:c r="M13" s="58"/>
      <x:c r="N13" s="58" t="s">
        <x:v>60</x:v>
      </x:c>
      <x:c r="O13" s="58"/>
      <x:c r="P13" s="58"/>
      <x:c r="Q13" s="58"/>
      <x:c r="R13" s="58"/>
      <x:c r="S13" s="58"/>
      <x:c r="T13" s="58"/>
    </x:row>
    <x:row r="14" ht="68.4000015258789" customHeight="1">
      <x:c r="A14" s="8">
        <x:v>11</x:v>
      </x:c>
      <x:c r="B14" s="20" t="s">
        <x:v>1044</x:v>
      </x:c>
      <x:c r="C14" s="20" t="s">
        <x:v>1045</x:v>
      </x:c>
      <x:c r="D14" s="6" t="e">
        <x:f>[1]Becarios!A18</x:f>
        <x:v>#NAME?</x:v>
      </x:c>
      <x:c r="E14" s="6" t="e">
        <x:f>[1]Becarios!B18</x:f>
        <x:v>#NAME?</x:v>
      </x:c>
      <x:c r="F14" s="60" t="s">
        <x:v>1046</x:v>
      </x:c>
      <x:c r="G14" s="6"/>
      <x:c r="H14" s="6"/>
      <x:c r="I14" s="6" t="s">
        <x:v>1047</x:v>
      </x:c>
      <x:c r="J14" s="6" t="s">
        <x:v>513</x:v>
      </x:c>
      <x:c r="K14" s="58"/>
      <x:c r="L14" s="58" t="s">
        <x:v>60</x:v>
      </x:c>
      <x:c r="M14" s="58"/>
      <x:c r="N14" s="58"/>
      <x:c r="O14" s="58"/>
      <x:c r="P14" s="58"/>
      <x:c r="Q14" s="58"/>
      <x:c r="R14" s="58"/>
      <x:c r="S14" s="58"/>
      <x:c r="T14" s="58"/>
    </x:row>
    <x:row r="15" ht="57.599998474121094">
      <x:c r="A15" s="8">
        <x:v>12</x:v>
      </x:c>
      <x:c r="B15" s="20" t="s">
        <x:v>1048</x:v>
      </x:c>
      <x:c r="C15" s="20" t="s">
        <x:v>1049</x:v>
      </x:c>
      <x:c r="D15" s="6" t="e">
        <x:f>[1]Becarios!A18</x:f>
        <x:v>#NAME?</x:v>
      </x:c>
      <x:c r="E15" s="6" t="e">
        <x:f>[1]Becarios!B18</x:f>
        <x:v>#NAME?</x:v>
      </x:c>
      <x:c r="F15" s="60" t="s">
        <x:v>1050</x:v>
      </x:c>
      <x:c r="G15" s="6"/>
      <x:c r="H15" s="6"/>
      <x:c r="I15" s="6" t="s">
        <x:v>1051</x:v>
      </x:c>
      <x:c r="J15" s="6" t="s">
        <x:v>513</x:v>
      </x:c>
      <x:c r="K15" s="58"/>
      <x:c r="L15" s="58" t="s">
        <x:v>60</x:v>
      </x:c>
      <x:c r="M15" s="58"/>
      <x:c r="N15" s="58"/>
      <x:c r="O15" s="58"/>
      <x:c r="P15" s="58"/>
      <x:c r="Q15" s="58"/>
      <x:c r="R15" s="58"/>
      <x:c r="S15" s="58"/>
      <x:c r="T15" s="58"/>
    </x:row>
    <x:row r="16" ht="87.5999984741211" customHeight="1">
      <x:c r="A16" s="8">
        <x:v>13</x:v>
      </x:c>
      <x:c r="B16" s="20" t="s">
        <x:v>1052</x:v>
      </x:c>
      <x:c r="C16" s="20" t="s">
        <x:v>1053</x:v>
      </x:c>
      <x:c r="D16" s="6" t="e">
        <x:f>[1]Becarios!A18</x:f>
        <x:v>#NAME?</x:v>
      </x:c>
      <x:c r="E16" s="6" t="e">
        <x:f>[1]Becarios!B18</x:f>
        <x:v>#NAME?</x:v>
      </x:c>
      <x:c r="F16" s="60" t="s">
        <x:v>1054</x:v>
      </x:c>
      <x:c r="G16" s="6" t="s">
        <x:v>653</x:v>
      </x:c>
      <x:c r="H16" s="6"/>
      <x:c r="I16" s="6" t="s">
        <x:v>1055</x:v>
      </x:c>
      <x:c r="J16" s="6" t="s">
        <x:v>513</x:v>
      </x:c>
      <x:c r="K16" s="58"/>
      <x:c r="L16" s="58" t="s">
        <x:v>60</x:v>
      </x:c>
      <x:c r="M16" s="58"/>
      <x:c r="N16" s="58"/>
      <x:c r="O16" s="58"/>
      <x:c r="P16" s="58"/>
      <x:c r="Q16" s="58"/>
      <x:c r="R16" s="58"/>
      <x:c r="S16" s="58"/>
      <x:c r="T16" s="58"/>
    </x:row>
    <x:row r="17" ht="72">
      <x:c r="A17" s="8">
        <x:v>14</x:v>
      </x:c>
      <x:c r="B17" s="20" t="s">
        <x:v>1056</x:v>
      </x:c>
      <x:c r="C17" s="20" t="s">
        <x:v>1057</x:v>
      </x:c>
      <x:c r="D17" s="6" t="e">
        <x:f>[1]Becarios!A18</x:f>
        <x:v>#NAME?</x:v>
      </x:c>
      <x:c r="E17" s="6" t="e">
        <x:f>[1]Becarios!B18</x:f>
        <x:v>#NAME?</x:v>
      </x:c>
      <x:c r="F17" s="60" t="s">
        <x:v>1058</x:v>
      </x:c>
      <x:c r="G17" s="6" t="s">
        <x:v>1059</x:v>
      </x:c>
      <x:c r="H17" s="6"/>
      <x:c r="I17" s="6" t="s">
        <x:v>1060</x:v>
      </x:c>
      <x:c r="J17" s="6" t="s">
        <x:v>513</x:v>
      </x:c>
      <x:c r="K17" s="58"/>
      <x:c r="L17" s="58" t="s">
        <x:v>60</x:v>
      </x:c>
      <x:c r="M17" s="58"/>
      <x:c r="N17" s="58"/>
      <x:c r="O17" s="58"/>
      <x:c r="P17" s="58"/>
      <x:c r="Q17" s="58"/>
      <x:c r="R17" s="58"/>
      <x:c r="S17" s="58"/>
      <x:c r="T17" s="58"/>
    </x:row>
    <x:row r="18" ht="114.5999984741211" customHeight="1">
      <x:c r="A18" s="8">
        <x:v>15</x:v>
      </x:c>
      <x:c r="B18" s="20" t="s">
        <x:v>1061</x:v>
      </x:c>
      <x:c r="C18" s="20" t="s">
        <x:v>1062</x:v>
      </x:c>
      <x:c r="D18" s="6" t="e">
        <x:f>[1]Becarios!A18</x:f>
        <x:v>#NAME?</x:v>
      </x:c>
      <x:c r="E18" s="6" t="e">
        <x:f>[1]Becarios!B18</x:f>
        <x:v>#NAME?</x:v>
      </x:c>
      <x:c r="F18" s="60" t="s">
        <x:v>1063</x:v>
      </x:c>
      <x:c r="G18" s="6" t="s">
        <x:v>1059</x:v>
      </x:c>
      <x:c r="H18" s="6"/>
      <x:c r="I18" s="6" t="s">
        <x:v>1060</x:v>
      </x:c>
      <x:c r="J18" s="6" t="s">
        <x:v>513</x:v>
      </x:c>
      <x:c r="K18" s="58"/>
      <x:c r="L18" s="58" t="s">
        <x:v>60</x:v>
      </x:c>
      <x:c r="M18" s="58"/>
      <x:c r="N18" s="58"/>
      <x:c r="O18" s="58"/>
      <x:c r="P18" s="58"/>
      <x:c r="Q18" s="58"/>
      <x:c r="R18" s="58"/>
      <x:c r="S18" s="58"/>
      <x:c r="T18" s="58"/>
    </x:row>
    <x:row r="19" ht="116.4000015258789" customHeight="1">
      <x:c r="A19" s="8">
        <x:v>16</x:v>
      </x:c>
      <x:c r="B19" s="20" t="s">
        <x:v>1064</x:v>
      </x:c>
      <x:c r="C19" s="20" t="s">
        <x:v>1065</x:v>
      </x:c>
      <x:c r="D19" s="6" t="e">
        <x:f>[1]Becarios!A18</x:f>
        <x:v>#NAME?</x:v>
      </x:c>
      <x:c r="E19" s="6" t="e">
        <x:f>[1]Becarios!B18</x:f>
        <x:v>#NAME?</x:v>
      </x:c>
      <x:c r="F19" s="60" t="s">
        <x:v>1066</x:v>
      </x:c>
      <x:c r="G19" s="6" t="s">
        <x:v>1030</x:v>
      </x:c>
      <x:c r="H19" s="6"/>
      <x:c r="I19" s="6" t="s">
        <x:v>1067</x:v>
      </x:c>
      <x:c r="J19" s="6" t="s">
        <x:v>1068</x:v>
      </x:c>
      <x:c r="K19" s="58"/>
      <x:c r="L19" s="58" t="s">
        <x:v>60</x:v>
      </x:c>
      <x:c r="M19" s="58"/>
      <x:c r="N19" s="58"/>
      <x:c r="O19" s="58"/>
      <x:c r="P19" s="58"/>
      <x:c r="Q19" s="58"/>
      <x:c r="R19" s="58"/>
      <x:c r="S19" s="58"/>
      <x:c r="T19" s="58"/>
    </x:row>
    <x:row r="20" ht="72">
      <x:c r="A20" s="8">
        <x:v>17</x:v>
      </x:c>
      <x:c r="B20" s="20" t="s">
        <x:v>1069</x:v>
      </x:c>
      <x:c r="C20" s="20" t="s">
        <x:v>1070</x:v>
      </x:c>
      <x:c r="D20" s="6" t="e">
        <x:f>[1]Becarios!A18</x:f>
        <x:v>#NAME?</x:v>
      </x:c>
      <x:c r="E20" s="6" t="e">
        <x:f>[1]Becarios!B18</x:f>
        <x:v>#NAME?</x:v>
      </x:c>
      <x:c r="F20" s="60" t="s">
        <x:v>1071</x:v>
      </x:c>
      <x:c r="G20" s="6" t="s">
        <x:v>653</x:v>
      </x:c>
      <x:c r="H20" s="6"/>
      <x:c r="I20" s="6" t="s">
        <x:v>1060</x:v>
      </x:c>
      <x:c r="J20" s="6" t="s">
        <x:v>513</x:v>
      </x:c>
      <x:c r="K20" s="58"/>
      <x:c r="L20" s="58" t="s">
        <x:v>60</x:v>
      </x:c>
      <x:c r="M20" s="58"/>
      <x:c r="N20" s="58"/>
      <x:c r="O20" s="58"/>
      <x:c r="P20" s="58"/>
      <x:c r="Q20" s="58"/>
      <x:c r="R20" s="58"/>
      <x:c r="S20" s="58"/>
      <x:c r="T20" s="58"/>
    </x:row>
    <x:row r="21" ht="73.94999694824219" customHeight="1">
      <x:c r="A21" s="8">
        <x:v>18</x:v>
      </x:c>
      <x:c r="B21" s="20" t="s">
        <x:v>1072</x:v>
      </x:c>
      <x:c r="C21" s="20" t="s">
        <x:v>1073</x:v>
      </x:c>
      <x:c r="D21" s="6" t="e">
        <x:f>[1]Becarios!A18</x:f>
        <x:v>#NAME?</x:v>
      </x:c>
      <x:c r="E21" s="6" t="e">
        <x:f>[1]Becarios!B18</x:f>
        <x:v>#NAME?</x:v>
      </x:c>
      <x:c r="F21" s="60" t="s">
        <x:v>1074</x:v>
      </x:c>
      <x:c r="G21" s="6" t="s">
        <x:v>653</x:v>
      </x:c>
      <x:c r="H21" s="6"/>
      <x:c r="I21" s="6" t="s">
        <x:v>1075</x:v>
      </x:c>
      <x:c r="J21" s="6" t="s">
        <x:v>513</x:v>
      </x:c>
      <x:c r="K21" s="58"/>
      <x:c r="L21" s="58" t="s">
        <x:v>60</x:v>
      </x:c>
      <x:c r="M21" s="58"/>
      <x:c r="N21" s="58"/>
      <x:c r="O21" s="58"/>
      <x:c r="P21" s="58"/>
      <x:c r="Q21" s="58"/>
      <x:c r="R21" s="58"/>
      <x:c r="S21" s="58"/>
      <x:c r="T21" s="58"/>
    </x:row>
    <x:row r="22" ht="43.20000076293945">
      <x:c r="A22" s="8">
        <x:v>19</x:v>
      </x:c>
      <x:c r="B22" s="20" t="s">
        <x:v>1076</x:v>
      </x:c>
      <x:c r="C22" s="20" t="s">
        <x:v>1077</x:v>
      </x:c>
      <x:c r="D22" s="6" t="e">
        <x:f>[1]Becarios!A18</x:f>
        <x:v>#NAME?</x:v>
      </x:c>
      <x:c r="E22" s="6" t="e">
        <x:f>[1]Becarios!B18</x:f>
        <x:v>#NAME?</x:v>
      </x:c>
      <x:c r="F22" s="60" t="s">
        <x:v>1078</x:v>
      </x:c>
      <x:c r="G22" s="6" t="s">
        <x:v>653</x:v>
      </x:c>
      <x:c r="H22" s="6"/>
      <x:c r="I22" s="6" t="s">
        <x:v>1060</x:v>
      </x:c>
      <x:c r="J22" s="6" t="s">
        <x:v>513</x:v>
      </x:c>
      <x:c r="K22" s="58"/>
      <x:c r="L22" s="58" t="s">
        <x:v>60</x:v>
      </x:c>
      <x:c r="M22" s="58"/>
      <x:c r="N22" s="58"/>
      <x:c r="O22" s="58"/>
      <x:c r="P22" s="58"/>
      <x:c r="Q22" s="58"/>
      <x:c r="R22" s="58"/>
      <x:c r="S22" s="58"/>
      <x:c r="T22" s="58"/>
    </x:row>
    <x:row r="23" ht="64.19999694824219" customHeight="1">
      <x:c r="A23" s="8">
        <x:v>20</x:v>
      </x:c>
      <x:c r="B23" s="20" t="s">
        <x:v>1079</x:v>
      </x:c>
      <x:c r="C23" s="20" t="s">
        <x:v>1080</x:v>
      </x:c>
      <x:c r="D23" s="6" t="e">
        <x:f>[1]Becarios!A19</x:f>
        <x:v>#NAME?</x:v>
      </x:c>
      <x:c r="E23" s="6" t="e">
        <x:f>[1]Becarios!B19</x:f>
        <x:v>#NAME?</x:v>
      </x:c>
      <x:c r="F23" s="60" t="s">
        <x:v>1081</x:v>
      </x:c>
      <x:c r="G23" s="6" t="s">
        <x:v>1030</x:v>
      </x:c>
      <x:c r="H23" s="6"/>
      <x:c r="I23" s="6" t="s">
        <x:v>1082</x:v>
      </x:c>
      <x:c r="J23" s="6" t="s">
        <x:v>513</x:v>
      </x:c>
      <x:c r="K23" s="58"/>
      <x:c r="L23" s="58" t="s">
        <x:v>60</x:v>
      </x:c>
      <x:c r="M23" s="58"/>
      <x:c r="N23" s="58"/>
      <x:c r="O23" s="58"/>
      <x:c r="P23" s="58"/>
      <x:c r="Q23" s="58"/>
      <x:c r="R23" s="58"/>
      <x:c r="S23" s="58"/>
      <x:c r="T23" s="58"/>
    </x:row>
    <x:row r="24" ht="138.60000610351562" customHeight="1">
      <x:c r="A24" s="8">
        <x:v>21</x:v>
      </x:c>
      <x:c r="B24" s="20" t="s">
        <x:v>235</x:v>
      </x:c>
      <x:c r="C24" s="20" t="s">
        <x:v>1083</x:v>
      </x:c>
      <x:c r="D24" s="6" t="e">
        <x:f>[1]Becarios!A19</x:f>
        <x:v>#NAME?</x:v>
      </x:c>
      <x:c r="E24" s="6" t="e">
        <x:f>[1]Becarios!B19</x:f>
        <x:v>#NAME?</x:v>
      </x:c>
      <x:c r="F24" s="60" t="s">
        <x:v>1084</x:v>
      </x:c>
      <x:c r="G24" s="6" t="s">
        <x:v>1025</x:v>
      </x:c>
      <x:c r="H24" s="6"/>
      <x:c r="I24" s="6" t="s">
        <x:v>1085</x:v>
      </x:c>
      <x:c r="J24" s="6" t="s">
        <x:v>513</x:v>
      </x:c>
      <x:c r="K24" s="58"/>
      <x:c r="L24" s="58" t="s">
        <x:v>60</x:v>
      </x:c>
      <x:c r="M24" s="58"/>
      <x:c r="N24" s="58"/>
      <x:c r="O24" s="58"/>
      <x:c r="P24" s="58"/>
      <x:c r="Q24" s="58"/>
      <x:c r="R24" s="58"/>
      <x:c r="S24" s="58"/>
      <x:c r="T24" s="58"/>
    </x:row>
    <x:row r="25" ht="130.9499969482422" customHeight="1">
      <x:c r="A25" s="8">
        <x:v>22</x:v>
      </x:c>
      <x:c r="B25" s="20" t="s">
        <x:v>1086</x:v>
      </x:c>
      <x:c r="C25" s="20" t="s">
        <x:v>1087</x:v>
      </x:c>
      <x:c r="D25" s="6" t="e">
        <x:f>[1]Becarios!A28</x:f>
        <x:v>#NAME?</x:v>
      </x:c>
      <x:c r="E25" s="6" t="e">
        <x:f>[1]Becarios!B28</x:f>
        <x:v>#NAME?</x:v>
      </x:c>
      <x:c r="F25" s="60" t="s">
        <x:v>1088</x:v>
      </x:c>
      <x:c r="G25" s="6"/>
      <x:c r="H25" s="6" t="s">
        <x:v>1089</x:v>
      </x:c>
      <x:c r="I25" s="6" t="s">
        <x:v>1090</x:v>
      </x:c>
      <x:c r="J25" s="6" t="s">
        <x:v>272</x:v>
      </x:c>
      <x:c r="K25" s="58"/>
      <x:c r="L25" s="58" t="s">
        <x:v>60</x:v>
      </x:c>
      <x:c r="M25" s="58"/>
      <x:c r="N25" s="58"/>
      <x:c r="O25" s="58"/>
      <x:c r="P25" s="58"/>
      <x:c r="Q25" s="58"/>
      <x:c r="R25" s="58"/>
      <x:c r="S25" s="58"/>
      <x:c r="T25" s="58"/>
    </x:row>
    <x:row r="26" ht="187.1999969482422">
      <x:c r="A26" s="50">
        <x:v>23</x:v>
      </x:c>
      <x:c r="B26" s="20" t="s">
        <x:v>1091</x:v>
      </x:c>
      <x:c r="C26" s="20" t="s">
        <x:v>1092</x:v>
      </x:c>
      <x:c r="D26" s="6" t="e">
        <x:f>[1]Becarios!A28</x:f>
        <x:v>#NAME?</x:v>
      </x:c>
      <x:c r="E26" s="6" t="e">
        <x:f>[1]Becarios!B28</x:f>
        <x:v>#NAME?</x:v>
      </x:c>
      <x:c r="F26" s="60" t="s">
        <x:v>1093</x:v>
      </x:c>
      <x:c r="G26" s="6"/>
      <x:c r="H26" s="6"/>
      <x:c r="I26" s="6" t="s">
        <x:v>1094</x:v>
      </x:c>
      <x:c r="J26" s="6" t="s">
        <x:v>1095</x:v>
      </x:c>
      <x:c r="K26" s="58"/>
      <x:c r="L26" s="58"/>
      <x:c r="M26" s="58"/>
      <x:c r="N26" s="58" t="s">
        <x:v>60</x:v>
      </x:c>
      <x:c r="O26" s="58"/>
      <x:c r="P26" s="58"/>
      <x:c r="Q26" s="58"/>
      <x:c r="R26" s="58"/>
      <x:c r="S26" s="58"/>
      <x:c r="T26" s="58"/>
    </x:row>
    <x:row r="27" ht="65.4000015258789" customHeight="1">
      <x:c r="A27" s="50">
        <x:v>24</x:v>
      </x:c>
      <x:c r="B27" s="20" t="s">
        <x:v>1096</x:v>
      </x:c>
      <x:c r="C27" s="20" t="s">
        <x:v>1097</x:v>
      </x:c>
      <x:c r="D27" s="6" t="e">
        <x:f>[1]Becarios!A28</x:f>
        <x:v>#NAME?</x:v>
      </x:c>
      <x:c r="E27" s="6" t="e">
        <x:f>[1]Becarios!B28</x:f>
        <x:v>#NAME?</x:v>
      </x:c>
      <x:c r="F27" s="60" t="s">
        <x:v>1098</x:v>
      </x:c>
      <x:c r="G27" s="6"/>
      <x:c r="H27" s="6"/>
      <x:c r="I27" s="6" t="s">
        <x:v>1099</x:v>
      </x:c>
      <x:c r="J27" s="6" t="s">
        <x:v>1095</x:v>
      </x:c>
      <x:c r="K27" s="58"/>
      <x:c r="L27" s="58"/>
      <x:c r="M27" s="58"/>
      <x:c r="N27" s="58" t="s">
        <x:v>60</x:v>
      </x:c>
      <x:c r="O27" s="58"/>
      <x:c r="P27" s="58"/>
      <x:c r="Q27" s="58"/>
      <x:c r="R27" s="58"/>
      <x:c r="S27" s="58"/>
      <x:c r="T27" s="58"/>
    </x:row>
    <x:row r="28" ht="57.599998474121094">
      <x:c r="A28" s="50">
        <x:v>25</x:v>
      </x:c>
      <x:c r="B28" s="20" t="s">
        <x:v>1100</x:v>
      </x:c>
      <x:c r="C28" s="20" t="s">
        <x:v>1101</x:v>
      </x:c>
      <x:c r="D28" s="6" t="e">
        <x:f>[1]Becarios!A28</x:f>
        <x:v>#NAME?</x:v>
      </x:c>
      <x:c r="E28" s="6" t="e">
        <x:f>[1]Becarios!B28</x:f>
        <x:v>#NAME?</x:v>
      </x:c>
      <x:c r="F28" s="60" t="s">
        <x:v>1102</x:v>
      </x:c>
      <x:c r="G28" s="6"/>
      <x:c r="H28" s="6" t="s">
        <x:v>66</x:v>
      </x:c>
      <x:c r="I28" s="6" t="s">
        <x:v>1103</x:v>
      </x:c>
      <x:c r="J28" s="6" t="s">
        <x:v>1104</x:v>
      </x:c>
      <x:c r="K28" s="58"/>
      <x:c r="L28" s="58"/>
      <x:c r="M28" s="58"/>
      <x:c r="N28" s="58" t="s">
        <x:v>60</x:v>
      </x:c>
      <x:c r="O28" s="58"/>
      <x:c r="P28" s="58"/>
      <x:c r="Q28" s="58"/>
      <x:c r="R28" s="58"/>
      <x:c r="S28" s="58"/>
      <x:c r="T28" s="58"/>
    </x:row>
    <x:row r="29" ht="115.19999694824219">
      <x:c r="A29" s="8">
        <x:v>26</x:v>
      </x:c>
      <x:c r="B29" s="20" t="s">
        <x:v>265</x:v>
      </x:c>
      <x:c r="C29" s="20" t="s">
        <x:v>1105</x:v>
      </x:c>
      <x:c r="D29" s="6" t="e">
        <x:f>[1]Becarios!A22</x:f>
        <x:v>#NAME?</x:v>
      </x:c>
      <x:c r="E29" s="6" t="e">
        <x:f>[1]Becarios!B22</x:f>
        <x:v>#NAME?</x:v>
      </x:c>
      <x:c r="F29" s="60" t="s">
        <x:v>1106</x:v>
      </x:c>
      <x:c r="G29" s="6"/>
      <x:c r="H29" s="6" t="s">
        <x:v>66</x:v>
      </x:c>
      <x:c r="I29" s="6" t="s">
        <x:v>1107</x:v>
      </x:c>
      <x:c r="J29" s="84" t="s">
        <x:v>1108</x:v>
      </x:c>
      <x:c r="K29" s="58"/>
      <x:c r="L29" s="58" t="s">
        <x:v>60</x:v>
      </x:c>
      <x:c r="M29" s="58"/>
      <x:c r="N29" s="58"/>
      <x:c r="O29" s="58"/>
      <x:c r="P29" s="58"/>
      <x:c r="Q29" s="58"/>
      <x:c r="R29" s="58"/>
      <x:c r="S29" s="58"/>
      <x:c r="T29" s="58"/>
    </x:row>
    <x:row r="30" ht="92.4000015258789" customHeight="1">
      <x:c r="A30" s="8">
        <x:v>27</x:v>
      </x:c>
      <x:c r="B30" s="21" t="s">
        <x:v>1109</x:v>
      </x:c>
      <x:c r="C30" s="21" t="s">
        <x:v>1110</x:v>
      </x:c>
      <x:c r="D30" s="6" t="e">
        <x:f>[1]Apoyo_para_investigaciones!A4</x:f>
        <x:v>#NAME?</x:v>
      </x:c>
      <x:c r="E30" s="6" t="e">
        <x:f>[1]Apoyo_para_investigaciones!B4</x:f>
        <x:v>#NAME?</x:v>
      </x:c>
      <x:c r="F30" s="61" t="s">
        <x:v>1111</x:v>
      </x:c>
      <x:c r="G30" s="6"/>
      <x:c r="H30" s="6" t="s">
        <x:v>66</x:v>
      </x:c>
      <x:c r="I30" s="6" t="s">
        <x:v>585</x:v>
      </x:c>
      <x:c r="J30" s="84" t="s">
        <x:v>1112</x:v>
      </x:c>
      <x:c r="K30" s="58"/>
      <x:c r="L30" s="58" t="s">
        <x:v>60</x:v>
      </x:c>
      <x:c r="M30" s="58"/>
      <x:c r="N30" s="85"/>
      <x:c r="O30" s="58"/>
      <x:c r="P30" s="58"/>
      <x:c r="Q30" s="58"/>
      <x:c r="R30" s="58"/>
      <x:c r="S30" s="58"/>
      <x:c r="T30" s="58"/>
    </x:row>
    <x:row r="31" ht="96" customHeight="1">
      <x:c r="A31" s="8">
        <x:v>28</x:v>
      </x:c>
      <x:c r="B31" s="21" t="s">
        <x:v>1113</x:v>
      </x:c>
      <x:c r="C31" s="21" t="s">
        <x:v>1114</x:v>
      </x:c>
      <x:c r="D31" s="6" t="e">
        <x:f>[1]Apoyo_para_investigaciones!A4</x:f>
        <x:v>#NAME?</x:v>
      </x:c>
      <x:c r="E31" s="6" t="e">
        <x:f>[1]Apoyo_para_investigaciones!B4</x:f>
        <x:v>#NAME?</x:v>
      </x:c>
      <x:c r="F31" s="61" t="s">
        <x:v>1115</x:v>
      </x:c>
      <x:c r="G31" s="6"/>
      <x:c r="H31" s="6" t="s">
        <x:v>66</x:v>
      </x:c>
      <x:c r="I31" s="6" t="s">
        <x:v>1103</x:v>
      </x:c>
      <x:c r="J31" s="84" t="s">
        <x:v>1116</x:v>
      </x:c>
      <x:c r="K31" s="58"/>
      <x:c r="L31" s="58" t="s">
        <x:v>60</x:v>
      </x:c>
      <x:c r="M31" s="58"/>
      <x:c r="N31" s="85"/>
      <x:c r="O31" s="58"/>
      <x:c r="P31" s="58"/>
      <x:c r="Q31" s="58"/>
      <x:c r="R31" s="58"/>
      <x:c r="S31" s="58"/>
      <x:c r="T31" s="58"/>
    </x:row>
    <x:row r="32" ht="141.60000610351562" customHeight="1">
      <x:c r="A32" s="69">
        <x:v>29</x:v>
      </x:c>
      <x:c r="B32" s="21" t="s">
        <x:v>1117</x:v>
      </x:c>
      <x:c r="C32" s="21" t="s">
        <x:v>1118</x:v>
      </x:c>
      <x:c r="D32" s="6" t="e">
        <x:f>[1]Apoyo_para_investigaciones!A4</x:f>
        <x:v>#NAME?</x:v>
      </x:c>
      <x:c r="E32" s="6" t="e">
        <x:f>[1]Apoyo_para_investigaciones!B4</x:f>
        <x:v>#NAME?</x:v>
      </x:c>
      <x:c r="F32" s="61" t="s">
        <x:v>1119</x:v>
      </x:c>
      <x:c r="G32" s="6"/>
      <x:c r="H32" s="6" t="s">
        <x:v>66</x:v>
      </x:c>
      <x:c r="I32" s="6" t="s">
        <x:v>585</x:v>
      </x:c>
      <x:c r="J32" s="6" t="s">
        <x:v>579</x:v>
      </x:c>
      <x:c r="K32" s="58"/>
      <x:c r="L32" s="58"/>
      <x:c r="M32" s="58" t="s">
        <x:v>60</x:v>
      </x:c>
      <x:c r="N32" s="58"/>
      <x:c r="O32" s="58"/>
      <x:c r="P32" s="58"/>
      <x:c r="Q32" s="58"/>
      <x:c r="R32" s="58"/>
      <x:c r="S32" s="58"/>
      <x:c r="T32" s="58"/>
    </x:row>
    <x:row r="33" ht="59.400001525878906" customHeight="1">
      <x:c r="A33" s="49">
        <x:v>30</x:v>
      </x:c>
      <x:c r="B33" s="21" t="s">
        <x:v>522</x:v>
      </x:c>
      <x:c r="C33" s="21" t="s">
        <x:v>1120</x:v>
      </x:c>
      <x:c r="D33" s="6" t="e">
        <x:f>[1]Apoyo_para_investigaciones!A8</x:f>
        <x:v>#NAME?</x:v>
      </x:c>
      <x:c r="E33" s="6" t="e">
        <x:f>[1]Apoyo_para_investigaciones!B8</x:f>
        <x:v>#NAME?</x:v>
      </x:c>
      <x:c r="F33" s="61" t="s">
        <x:v>1121</x:v>
      </x:c>
      <x:c r="G33" s="6" t="s">
        <x:v>1025</x:v>
      </x:c>
      <x:c r="H33" s="6"/>
      <x:c r="I33" s="6" t="s">
        <x:v>1122</x:v>
      </x:c>
      <x:c r="J33" s="6" t="s">
        <x:v>272</x:v>
      </x:c>
      <x:c r="K33" s="58"/>
      <x:c r="L33" s="58"/>
      <x:c r="M33" s="58"/>
      <x:c r="N33" s="58"/>
      <x:c r="O33" s="58"/>
      <x:c r="P33" s="58" t="s">
        <x:v>60</x:v>
      </x:c>
      <x:c r="Q33" s="58"/>
      <x:c r="R33" s="58"/>
      <x:c r="S33" s="58"/>
      <x:c r="T33" s="58"/>
    </x:row>
    <x:row r="34" ht="158.39999389648438">
      <x:c r="A34" s="49">
        <x:v>31</x:v>
      </x:c>
      <x:c r="B34" s="21" t="s">
        <x:v>538</x:v>
      </x:c>
      <x:c r="C34" s="21" t="s">
        <x:v>1123</x:v>
      </x:c>
      <x:c r="D34" s="6" t="e">
        <x:f>[1]Apoyo_para_investigaciones!A10</x:f>
        <x:v>#NAME?</x:v>
      </x:c>
      <x:c r="E34" s="6" t="e">
        <x:f>[1]Apoyo_para_investigaciones!B10</x:f>
        <x:v>#NAME?</x:v>
      </x:c>
      <x:c r="F34" s="61" t="s">
        <x:v>1124</x:v>
      </x:c>
      <x:c r="G34" s="6" t="s">
        <x:v>1125</x:v>
      </x:c>
      <x:c r="H34" s="6"/>
      <x:c r="I34" s="6" t="s">
        <x:v>1122</x:v>
      </x:c>
      <x:c r="J34" s="6" t="s">
        <x:v>1126</x:v>
      </x:c>
      <x:c r="K34" s="58"/>
      <x:c r="L34" s="58"/>
      <x:c r="M34" s="58"/>
      <x:c r="N34" s="58"/>
      <x:c r="O34" s="58"/>
      <x:c r="P34" s="58" t="s">
        <x:v>60</x:v>
      </x:c>
      <x:c r="Q34" s="58"/>
      <x:c r="R34" s="58"/>
      <x:c r="S34" s="58"/>
      <x:c r="T34" s="58"/>
    </x:row>
    <x:row r="35" ht="159.60000610351562" customHeight="1">
      <x:c r="A35" s="8">
        <x:v>32</x:v>
      </x:c>
      <x:c r="B35" s="21" t="s">
        <x:v>546</x:v>
      </x:c>
      <x:c r="C35" s="21" t="s">
        <x:v>1127</x:v>
      </x:c>
      <x:c r="D35" s="6" t="e">
        <x:f>[1]Apoyo_para_investigaciones!A11</x:f>
        <x:v>#NAME?</x:v>
      </x:c>
      <x:c r="E35" s="6" t="e">
        <x:f>[1]Apoyo_para_investigaciones!B11</x:f>
        <x:v>#NAME?</x:v>
      </x:c>
      <x:c r="F35" s="61" t="s">
        <x:v>1128</x:v>
      </x:c>
      <x:c r="G35" s="6" t="s">
        <x:v>852</x:v>
      </x:c>
      <x:c r="H35" s="6"/>
      <x:c r="I35" s="6" t="s">
        <x:v>1129</x:v>
      </x:c>
      <x:c r="J35" s="6" t="s">
        <x:v>1130</x:v>
      </x:c>
      <x:c r="K35" s="58"/>
      <x:c r="L35" s="58" t="s">
        <x:v>60</x:v>
      </x:c>
      <x:c r="M35" s="58"/>
      <x:c r="N35" s="58"/>
      <x:c r="O35" s="58"/>
      <x:c r="P35" s="58"/>
      <x:c r="Q35" s="58"/>
      <x:c r="R35" s="58"/>
      <x:c r="S35" s="58"/>
      <x:c r="T35" s="58"/>
    </x:row>
    <x:row r="36" ht="75" customHeight="1">
      <x:c r="A36" s="48">
        <x:v>33</x:v>
      </x:c>
      <x:c r="B36" s="21" t="s">
        <x:v>561</x:v>
      </x:c>
      <x:c r="C36" s="21" t="s">
        <x:v>1131</x:v>
      </x:c>
      <x:c r="D36" s="6" t="e">
        <x:f>[1]Apoyo_para_investigaciones!A13</x:f>
        <x:v>#NAME?</x:v>
      </x:c>
      <x:c r="E36" s="6" t="e">
        <x:f>[1]Apoyo_para_investigaciones!B13</x:f>
        <x:v>#NAME?</x:v>
      </x:c>
      <x:c r="F36" s="61" t="s">
        <x:v>1132</x:v>
      </x:c>
      <x:c r="G36" s="6" t="s">
        <x:v>1133</x:v>
      </x:c>
      <x:c r="H36" s="6"/>
      <x:c r="I36" s="6" t="s">
        <x:v>1134</x:v>
      </x:c>
      <x:c r="J36" s="6" t="s">
        <x:v>1135</x:v>
      </x:c>
      <x:c r="K36" s="58"/>
      <x:c r="L36" s="58"/>
      <x:c r="M36" s="58"/>
      <x:c r="N36" s="58"/>
      <x:c r="O36" s="58"/>
      <x:c r="P36" s="58"/>
      <x:c r="Q36" s="58"/>
      <x:c r="R36" s="58" t="s">
        <x:v>60</x:v>
      </x:c>
      <x:c r="S36" s="58"/>
      <x:c r="T36" s="58"/>
    </x:row>
    <x:row r="37" ht="103.94999694824219" customHeight="1">
      <x:c r="A37" s="51">
        <x:v>34</x:v>
      </x:c>
      <x:c r="B37" s="21" t="s">
        <x:v>670</x:v>
      </x:c>
      <x:c r="C37" s="21" t="s">
        <x:v>1136</x:v>
      </x:c>
      <x:c r="D37" s="6" t="e">
        <x:f>[1]Apoyo_para_investigaciones!A25</x:f>
        <x:v>#NAME?</x:v>
      </x:c>
      <x:c r="E37" s="6" t="e">
        <x:f>[1]Apoyo_para_investigaciones!B25</x:f>
        <x:v>#NAME?</x:v>
      </x:c>
      <x:c r="F37" s="61" t="s">
        <x:v>1137</x:v>
      </x:c>
      <x:c r="G37" s="6"/>
      <x:c r="H37" s="6" t="s">
        <x:v>66</x:v>
      </x:c>
      <x:c r="I37" s="6" t="s">
        <x:v>1138</x:v>
      </x:c>
      <x:c r="J37" s="6" t="s">
        <x:v>887</x:v>
      </x:c>
      <x:c r="K37" s="58" t="s">
        <x:v>60</x:v>
      </x:c>
      <x:c r="L37" s="58"/>
      <x:c r="M37" s="58"/>
      <x:c r="N37" s="58"/>
      <x:c r="O37" s="58"/>
      <x:c r="P37" s="58"/>
      <x:c r="Q37" s="58"/>
      <x:c r="R37" s="58"/>
      <x:c r="S37" s="58"/>
      <x:c r="T37" s="58"/>
    </x:row>
    <x:row r="38" ht="105" customHeight="1">
      <x:c r="A38" s="8">
        <x:v>35</x:v>
      </x:c>
      <x:c r="B38" s="21" t="s">
        <x:v>707</x:v>
      </x:c>
      <x:c r="C38" s="21" t="s">
        <x:v>1139</x:v>
      </x:c>
      <x:c r="D38" s="6" t="e">
        <x:f>[1]Apoyo_para_investigaciones!A29</x:f>
        <x:v>#NAME?</x:v>
      </x:c>
      <x:c r="E38" s="6" t="e">
        <x:f>[1]Apoyo_para_investigaciones!B29</x:f>
        <x:v>#NAME?</x:v>
      </x:c>
      <x:c r="F38" s="61" t="s">
        <x:v>1140</x:v>
      </x:c>
      <x:c r="G38" s="6"/>
      <x:c r="H38" s="6"/>
      <x:c r="I38" s="6" t="s">
        <x:v>1141</x:v>
      </x:c>
      <x:c r="J38" s="6" t="s">
        <x:v>1095</x:v>
      </x:c>
      <x:c r="K38" s="58"/>
      <x:c r="L38" s="58" t="s">
        <x:v>60</x:v>
      </x:c>
      <x:c r="M38" s="58"/>
      <x:c r="N38" s="58"/>
      <x:c r="O38" s="58"/>
      <x:c r="P38" s="58"/>
      <x:c r="Q38" s="58"/>
      <x:c r="R38" s="58"/>
      <x:c r="S38" s="58"/>
      <x:c r="T38" s="58"/>
    </x:row>
    <x:row r="39" ht="38.400001525878906" customHeight="1">
      <x:c r="B39" s="9"/>
      <x:c r="C39" s="9"/>
      <x:c r="D39" s="9"/>
      <x:c r="J39" s="30" t="s">
        <x:v>452</x:v>
      </x:c>
      <x:c r="K39" s="30" t="n">
        <x:f t="shared" ref="K39:T39" si="0">COUNTIF(K4:K38, "X")</x:f>
        <x:v>1</x:v>
      </x:c>
      <x:c r="L39" s="30">
        <x:f t="shared" si="0"/>
        <x:v>17</x:v>
      </x:c>
      <x:c r="M39" s="30">
        <x:f t="shared" si="0"/>
        <x:v>7</x:v>
      </x:c>
      <x:c r="N39" s="30">
        <x:f t="shared" si="0"/>
        <x:v>4</x:v>
      </x:c>
      <x:c r="O39" s="30">
        <x:f t="shared" si="0"/>
        <x:v>1</x:v>
      </x:c>
      <x:c r="P39" s="30">
        <x:f t="shared" si="0"/>
        <x:v>2</x:v>
      </x:c>
      <x:c r="Q39" s="30">
        <x:f t="shared" si="0"/>
        <x:v>0</x:v>
      </x:c>
      <x:c r="R39" s="30">
        <x:f t="shared" si="0"/>
        <x:v>3</x:v>
      </x:c>
      <x:c r="S39" s="30">
        <x:f t="shared" si="0"/>
        <x:v>0</x:v>
      </x:c>
      <x:c r="T39" s="30">
        <x:f t="shared" si="0"/>
        <x:v>0</x:v>
      </x:c>
    </x:row>
    <x:row r="40" ht="28.799999237060547">
      <x:c r="A40" s="39"/>
      <x:c r="B40" s="9" t="s">
        <x:v>23</x:v>
      </x:c>
      <x:c r="C40" s="9"/>
      <x:c r="D40" s="9"/>
      <x:c r="J40" s="31" t="s">
        <x:v>1142</x:v>
      </x:c>
      <x:c r="K40" s="254" t="n">
        <x:f>SUM(K39:T39)</x:f>
        <x:v>35</x:v>
      </x:c>
      <x:c r="L40" s="254"/>
      <x:c r="M40" s="254"/>
      <x:c r="N40" s="254"/>
      <x:c r="O40" s="254"/>
      <x:c r="P40" s="254"/>
      <x:c r="Q40" s="254"/>
      <x:c r="R40" s="254"/>
      <x:c r="S40" s="254"/>
      <x:c r="T40" s="254"/>
    </x:row>
    <x:row r="41">
      <x:c r="A41" s="40"/>
      <x:c r="B41" s="9" t="s">
        <x:v>24</x:v>
      </x:c>
      <x:c r="C41" s="9"/>
      <x:c r="D41" s="9"/>
    </x:row>
    <x:row r="42">
      <x:c r="A42" s="67"/>
      <x:c r="B42" s="9" t="s">
        <x:v>25</x:v>
      </x:c>
      <x:c r="C42" s="9"/>
      <x:c r="D42" s="9"/>
    </x:row>
    <x:row r="43">
      <x:c r="A43" s="41"/>
      <x:c r="B43" s="9" t="s">
        <x:v>26</x:v>
      </x:c>
      <x:c r="C43" s="9"/>
      <x:c r="D43" s="9"/>
    </x:row>
    <x:row r="44">
      <x:c r="A44" s="43"/>
      <x:c r="B44" s="9" t="s">
        <x:v>27</x:v>
      </x:c>
      <x:c r="C44" s="9"/>
      <x:c r="D44" s="9"/>
    </x:row>
    <x:row r="45">
      <x:c r="A45" s="42"/>
      <x:c r="B45" s="9" t="s">
        <x:v>28</x:v>
      </x:c>
      <x:c r="C45" s="9"/>
      <x:c r="D45" s="9"/>
    </x:row>
    <x:row r="46" ht="28.799999237060547">
      <x:c r="A46" s="44"/>
      <x:c r="B46" s="9" t="s">
        <x:v>29</x:v>
      </x:c>
      <x:c r="C46" s="9"/>
      <x:c r="D46" s="9"/>
    </x:row>
    <x:row r="47" ht="28.799999237060547">
      <x:c r="A47" s="47"/>
      <x:c r="B47" s="9" t="s">
        <x:v>30</x:v>
      </x:c>
      <x:c r="C47" s="9"/>
      <x:c r="D47" s="9"/>
    </x:row>
    <x:row r="48" ht="28.799999237060547">
      <x:c r="A48" s="46"/>
      <x:c r="B48" s="9" t="s">
        <x:v>31</x:v>
      </x:c>
      <x:c r="C48" s="9"/>
      <x:c r="D48" s="9"/>
    </x:row>
    <x:row r="49">
      <x:c r="A49" s="45"/>
      <x:c r="B49" s="9" t="s">
        <x:v>32</x:v>
      </x:c>
      <x:c r="C49" s="9"/>
      <x:c r="D49" s="9"/>
    </x:row>
    <x:row r="50">
      <x:c r="B50" s="9"/>
      <x:c r="C50" s="9"/>
      <x:c r="D50" s="9"/>
    </x:row>
    <x:row r="51">
      <x:c r="B51" s="9"/>
      <x:c r="C51" s="9"/>
      <x:c r="D51" s="9"/>
    </x:row>
    <x:row r="52">
      <x:c r="B52" s="9"/>
      <x:c r="C52" s="9"/>
      <x:c r="D52" s="9"/>
    </x:row>
    <x:row r="53">
      <x:c r="B53" s="9"/>
      <x:c r="C53" s="9"/>
      <x:c r="D53" s="9"/>
    </x:row>
    <x:row r="54">
      <x:c r="B54" s="9"/>
      <x:c r="C54" s="9"/>
      <x:c r="D54" s="9"/>
    </x:row>
    <x:row r="55">
      <x:c r="B55" s="9"/>
      <x:c r="C55" s="9"/>
      <x:c r="D55" s="9"/>
    </x:row>
    <x:row r="56">
      <x:c r="B56" s="9"/>
      <x:c r="C56" s="9"/>
      <x:c r="D56" s="9"/>
    </x:row>
    <x:row r="57">
      <x:c r="B57" s="9"/>
      <x:c r="C57" s="9"/>
      <x:c r="D57" s="9"/>
    </x:row>
    <x:row r="58">
      <x:c r="B58" s="9"/>
      <x:c r="C58" s="9"/>
      <x:c r="D58" s="9"/>
    </x:row>
    <x:row r="59">
      <x:c r="B59" s="9"/>
      <x:c r="C59" s="9"/>
      <x:c r="D59" s="9"/>
    </x:row>
    <x:row r="60">
      <x:c r="B60" s="9"/>
      <x:c r="C60" s="9"/>
      <x:c r="D60" s="9"/>
    </x:row>
    <x:row r="61">
      <x:c r="B61" s="9"/>
      <x:c r="C61" s="9"/>
      <x:c r="D61" s="9"/>
    </x:row>
    <x:row r="62">
      <x:c r="B62" s="9"/>
      <x:c r="C62" s="9"/>
      <x:c r="D62" s="9"/>
    </x:row>
    <x:row r="63">
      <x:c r="B63" s="9"/>
      <x:c r="C63" s="9"/>
      <x:c r="D63" s="9"/>
    </x:row>
    <x:row r="64">
      <x:c r="B64" s="9"/>
      <x:c r="C64" s="9"/>
      <x:c r="D64" s="9"/>
    </x:row>
    <x:row r="65">
      <x:c r="B65" s="9"/>
      <x:c r="C65" s="9"/>
      <x:c r="D65" s="9"/>
    </x:row>
    <x:row r="66">
      <x:c r="B66" s="9"/>
      <x:c r="C66" s="9"/>
      <x:c r="D66" s="9"/>
    </x:row>
    <x:row r="67">
      <x:c r="B67" s="9"/>
      <x:c r="C67" s="9"/>
      <x:c r="D67" s="9"/>
    </x:row>
    <x:row r="68">
      <x:c r="B68" s="9"/>
      <x:c r="C68" s="9"/>
      <x:c r="D68" s="9"/>
    </x:row>
    <x:row r="69">
      <x:c r="B69" s="9"/>
      <x:c r="C69" s="9"/>
      <x:c r="D69" s="9"/>
    </x:row>
    <x:row r="70">
      <x:c r="B70" s="9"/>
      <x:c r="C70" s="9"/>
      <x:c r="D70" s="9"/>
    </x:row>
    <x:row r="71">
      <x:c r="B71" s="9"/>
      <x:c r="C71" s="9"/>
      <x:c r="D71" s="9"/>
    </x:row>
    <x:row r="72">
      <x:c r="B72" s="9"/>
      <x:c r="C72" s="9"/>
      <x:c r="D72" s="9"/>
    </x:row>
    <x:row r="73">
      <x:c r="B73" s="9"/>
      <x:c r="C73" s="9"/>
      <x:c r="D73" s="9"/>
    </x:row>
    <x:row r="74">
      <x:c r="B74" s="9"/>
      <x:c r="C74" s="9"/>
      <x:c r="D74" s="9"/>
    </x:row>
    <x:row r="75">
      <x:c r="B75" s="9"/>
      <x:c r="C75" s="9"/>
      <x:c r="D75" s="9"/>
    </x:row>
    <x:row r="76">
      <x:c r="B76" s="9"/>
      <x:c r="C76" s="9"/>
      <x:c r="D76" s="9"/>
    </x:row>
    <x:row r="77">
      <x:c r="B77" s="9"/>
      <x:c r="C77" s="9"/>
      <x:c r="D77" s="9"/>
    </x:row>
    <x:row r="78">
      <x:c r="B78" s="9"/>
      <x:c r="C78" s="9"/>
      <x:c r="D78" s="9"/>
    </x:row>
    <x:row r="79">
      <x:c r="B79" s="9"/>
      <x:c r="C79" s="9"/>
      <x:c r="D79" s="9"/>
    </x:row>
    <x:row r="80">
      <x:c r="B80" s="9"/>
      <x:c r="C80" s="9"/>
      <x:c r="D80" s="9"/>
    </x:row>
    <x:row r="81">
      <x:c r="B81" s="9"/>
      <x:c r="C81" s="9"/>
      <x:c r="D81" s="9"/>
    </x:row>
    <x:row r="82">
      <x:c r="B82" s="9"/>
      <x:c r="C82" s="9"/>
      <x:c r="D82" s="9"/>
    </x:row>
    <x:row r="83">
      <x:c r="B83" s="9"/>
      <x:c r="C83" s="9"/>
      <x:c r="D83" s="9"/>
    </x:row>
    <x:row r="84">
      <x:c r="B84" s="9"/>
      <x:c r="C84" s="9"/>
      <x:c r="D84" s="9"/>
    </x:row>
    <x:row r="85">
      <x:c r="B85" s="9"/>
      <x:c r="C85" s="9"/>
      <x:c r="D85" s="9"/>
    </x:row>
    <x:row r="86">
      <x:c r="B86" s="9"/>
      <x:c r="C86" s="9"/>
      <x:c r="D86" s="9"/>
    </x:row>
    <x:row r="87">
      <x:c r="B87" s="9"/>
      <x:c r="C87" s="9"/>
      <x:c r="D87" s="9"/>
    </x:row>
    <x:row r="88">
      <x:c r="B88" s="9"/>
      <x:c r="C88" s="9"/>
      <x:c r="D88" s="9"/>
    </x:row>
    <x:row r="89">
      <x:c r="B89" s="9"/>
      <x:c r="C89" s="9"/>
      <x:c r="D89" s="9"/>
    </x:row>
    <x:row r="90">
      <x:c r="B90" s="9"/>
      <x:c r="C90" s="9"/>
      <x:c r="D90" s="9"/>
    </x:row>
    <x:row r="91">
      <x:c r="B91" s="9"/>
      <x:c r="C91" s="9"/>
      <x:c r="D91" s="9"/>
    </x:row>
    <x:row r="92">
      <x:c r="B92" s="9"/>
      <x:c r="C92" s="9"/>
      <x:c r="D92" s="9"/>
    </x:row>
    <x:row r="93">
      <x:c r="B93" s="9"/>
      <x:c r="C93" s="9"/>
      <x:c r="D93" s="9"/>
    </x:row>
    <x:row r="94">
      <x:c r="B94" s="9"/>
      <x:c r="C94" s="9"/>
      <x:c r="D94" s="9"/>
    </x:row>
    <x:row r="95">
      <x:c r="B95" s="9"/>
      <x:c r="C95" s="9"/>
      <x:c r="D95" s="9"/>
    </x:row>
    <x:row r="96">
      <x:c r="B96" s="9"/>
      <x:c r="C96" s="9"/>
      <x:c r="D96" s="9"/>
    </x:row>
    <x:row r="97">
      <x:c r="B97" s="9"/>
      <x:c r="C97" s="9"/>
      <x:c r="D97" s="9"/>
    </x:row>
    <x:row r="98">
      <x:c r="B98" s="9"/>
      <x:c r="C98" s="9"/>
      <x:c r="D98" s="9"/>
    </x:row>
    <x:row r="99">
      <x:c r="B99" s="9"/>
      <x:c r="C99" s="9"/>
      <x:c r="D99" s="9"/>
    </x:row>
    <x:row r="100">
      <x:c r="B100" s="9"/>
      <x:c r="C100" s="9"/>
      <x:c r="D100" s="9"/>
    </x:row>
    <x:row r="101">
      <x:c r="B101" s="9"/>
      <x:c r="C101" s="9"/>
      <x:c r="D101" s="9"/>
    </x:row>
    <x:row r="102">
      <x:c r="B102" s="9"/>
      <x:c r="C102" s="9"/>
      <x:c r="D102" s="9"/>
    </x:row>
    <x:row r="103">
      <x:c r="B103" s="9"/>
      <x:c r="C103" s="9"/>
      <x:c r="D103" s="9"/>
    </x:row>
    <x:row r="104">
      <x:c r="B104" s="9"/>
      <x:c r="C104" s="9"/>
      <x:c r="D104" s="9"/>
    </x:row>
    <x:row r="105">
      <x:c r="B105" s="9"/>
      <x:c r="C105" s="9"/>
      <x:c r="D105" s="9"/>
    </x:row>
    <x:row r="106">
      <x:c r="B106" s="9"/>
      <x:c r="C106" s="9"/>
      <x:c r="D106" s="9"/>
    </x:row>
    <x:row r="107">
      <x:c r="B107" s="9"/>
      <x:c r="C107" s="9"/>
      <x:c r="D107" s="9"/>
    </x:row>
    <x:row r="108">
      <x:c r="B108" s="9"/>
      <x:c r="C108" s="9"/>
      <x:c r="D108" s="9"/>
    </x:row>
    <x:row r="109">
      <x:c r="B109" s="9"/>
      <x:c r="C109" s="9"/>
      <x:c r="D109" s="9"/>
    </x:row>
    <x:row r="110">
      <x:c r="B110" s="9"/>
      <x:c r="C110" s="9"/>
      <x:c r="D110" s="9"/>
    </x:row>
    <x:row r="111">
      <x:c r="B111" s="9"/>
      <x:c r="C111" s="9"/>
      <x:c r="D111" s="9"/>
    </x:row>
    <x:row r="112">
      <x:c r="B112" s="9"/>
      <x:c r="C112" s="9"/>
      <x:c r="D112" s="9"/>
    </x:row>
    <x:row r="113">
      <x:c r="B113" s="9"/>
      <x:c r="C113" s="9"/>
      <x:c r="D113" s="9"/>
    </x:row>
    <x:row r="114">
      <x:c r="B114" s="9"/>
      <x:c r="C114" s="9"/>
      <x:c r="D114" s="9"/>
    </x:row>
    <x:row r="115">
      <x:c r="B115" s="9"/>
      <x:c r="C115" s="9"/>
      <x:c r="D115" s="9"/>
    </x:row>
    <x:row r="116">
      <x:c r="B116" s="9"/>
      <x:c r="C116" s="9"/>
      <x:c r="D116" s="9"/>
    </x:row>
    <x:row r="117">
      <x:c r="B117" s="9"/>
      <x:c r="C117" s="9"/>
      <x:c r="D117" s="9"/>
    </x:row>
    <x:row r="118">
      <x:c r="B118" s="9"/>
      <x:c r="C118" s="9"/>
      <x:c r="D118" s="9"/>
    </x:row>
    <x:row r="119">
      <x:c r="B119" s="9"/>
      <x:c r="C119" s="9"/>
      <x:c r="D119" s="9"/>
    </x:row>
    <x:row r="120">
      <x:c r="B120" s="9"/>
      <x:c r="C120" s="9"/>
      <x:c r="D120" s="9"/>
    </x:row>
    <x:row r="121">
      <x:c r="B121" s="9"/>
      <x:c r="C121" s="9"/>
      <x:c r="D121" s="9"/>
    </x:row>
    <x:row r="122">
      <x:c r="B122" s="9"/>
      <x:c r="C122" s="9"/>
      <x:c r="D122" s="9"/>
    </x:row>
    <x:row r="123">
      <x:c r="B123" s="9"/>
      <x:c r="C123" s="9"/>
      <x:c r="D123" s="9"/>
    </x:row>
    <x:row r="124">
      <x:c r="B124" s="9"/>
      <x:c r="C124" s="9"/>
      <x:c r="D124" s="9"/>
    </x:row>
    <x:row r="125">
      <x:c r="B125" s="9"/>
      <x:c r="C125" s="9"/>
      <x:c r="D125" s="9"/>
    </x:row>
    <x:row r="126">
      <x:c r="B126" s="9"/>
      <x:c r="C126" s="9"/>
      <x:c r="D126" s="9"/>
    </x:row>
    <x:row r="127">
      <x:c r="B127" s="9"/>
      <x:c r="C127" s="9"/>
      <x:c r="D127" s="9"/>
    </x:row>
    <x:row r="128">
      <x:c r="B128" s="9"/>
      <x:c r="C128" s="9"/>
      <x:c r="D128" s="9"/>
    </x:row>
    <x:row r="129">
      <x:c r="B129" s="9"/>
      <x:c r="C129" s="9"/>
      <x:c r="D129" s="9"/>
    </x:row>
  </x:sheetData>
  <x:mergeCells>
    <x:mergeCell ref="K40:T40"/>
    <x:mergeCell ref="K2:T2"/>
    <x:mergeCell ref="A1:T1"/>
    <x:mergeCell ref="A2:A3"/>
    <x:mergeCell ref="B2:B3"/>
    <x:mergeCell ref="C2:C3"/>
    <x:mergeCell ref="D2:E3"/>
    <x:mergeCell ref="F2:F3"/>
    <x:mergeCell ref="G2:G3"/>
    <x:mergeCell ref="H2:H3"/>
    <x:mergeCell ref="I2:I3"/>
    <x:mergeCell ref="J2:J3"/>
  </x:mergeCells>
  <x:pageMargins left="0.7" right="0.7" top="0.75" bottom="0.75" header="0.3" footer="0.3"/>
</x:worksheet>
</file>

<file path=xl/worksheets/sheet5.xml><?xml version="1.0" encoding="utf-8"?>
<x:worksheet xmlns:x="http://schemas.openxmlformats.org/spreadsheetml/2006/main">
  <x:sheetFormatPr baseColWidth="10" defaultColWidth="11.44140625" defaultRowHeight="14.399999618530273"/>
  <x:cols>
    <x:col min="1" max="1" width="5.33203125" style="11" customWidth="1"/>
    <x:col min="2" max="2" width="29" style="13" customWidth="1"/>
    <x:col min="3" max="3" width="59.109375" style="13" customWidth="1"/>
    <x:col min="4" max="4" width="9.44140625" style="13" hidden="1" customWidth="1"/>
    <x:col min="5" max="5" width="140.6640625" style="11" customWidth="1"/>
    <x:col min="6" max="6" width="27" style="11" customWidth="1"/>
    <x:col min="7" max="8" width="25.6640625" style="11" customWidth="1"/>
    <x:col min="9" max="9" width="20.88671875" style="11" customWidth="1"/>
    <x:col min="10" max="10" width="14.33203125" style="11" customWidth="1"/>
    <x:col min="11" max="11" width="18" style="11" customWidth="1"/>
    <x:col min="12" max="12" width="16.6640625" style="11" customWidth="1"/>
    <x:col min="13" max="13" width="15.44140625" style="11" customWidth="1"/>
    <x:col min="14" max="14" width="16.33203125" style="11" customWidth="1"/>
    <x:col min="15" max="15" width="17.109375" style="11" customWidth="1"/>
    <x:col min="16" max="16" width="26" style="11" customWidth="1"/>
    <x:col min="17" max="17" width="22.44140625" style="11" customWidth="1"/>
    <x:col min="18" max="18" width="18.44140625" style="11" customWidth="1"/>
    <x:col min="19" max="16384" width="11.44140625" style="1" customWidth="0"/>
  </x:cols>
  <x:sheetData>
    <x:row r="1" ht="33.599998474121094">
      <x:c r="A1" s="255" t="s">
        <x:v>1143</x:v>
      </x:c>
      <x:c r="B1" s="255"/>
      <x:c r="C1" s="255"/>
      <x:c r="D1" s="255"/>
      <x:c r="E1" s="255"/>
      <x:c r="F1" s="255"/>
      <x:c r="G1" s="255"/>
      <x:c r="H1" s="255"/>
      <x:c r="I1" s="255"/>
      <x:c r="J1" s="255"/>
      <x:c r="K1" s="255"/>
      <x:c r="L1" s="255"/>
      <x:c r="M1" s="255"/>
      <x:c r="N1" s="255"/>
      <x:c r="O1" s="255"/>
      <x:c r="P1" s="255"/>
      <x:c r="Q1" s="255"/>
      <x:c r="R1" s="255"/>
    </x:row>
    <x:row r="2" s="2" customFormat="1" ht="14.399999618530273" customHeight="1">
      <x:c r="A2" s="239" t="s">
        <x:v>0</x:v>
      </x:c>
      <x:c r="B2" s="237" t="s">
        <x:v>1144</x:v>
      </x:c>
      <x:c r="C2" s="237" t="s">
        <x:v>5</x:v>
      </x:c>
      <x:c r="D2" s="257" t="s">
        <x:v>997</x:v>
      </x:c>
      <x:c r="E2" s="237" t="s">
        <x:v>998</x:v>
      </x:c>
      <x:c r="F2" s="237" t="s">
        <x:v>999</x:v>
      </x:c>
      <x:c r="G2" s="237" t="s">
        <x:v>470</x:v>
      </x:c>
      <x:c r="H2" s="237" t="s">
        <x:v>17</x:v>
      </x:c>
      <x:c r="I2" s="241" t="s">
        <x:v>1000</x:v>
      </x:c>
      <x:c r="J2" s="242"/>
      <x:c r="K2" s="242"/>
      <x:c r="L2" s="242"/>
      <x:c r="M2" s="242"/>
      <x:c r="N2" s="242"/>
      <x:c r="O2" s="242"/>
      <x:c r="P2" s="242"/>
      <x:c r="Q2" s="242"/>
      <x:c r="R2" s="243"/>
    </x:row>
    <x:row r="3" s="2" customFormat="1" ht="43.20000076293945">
      <x:c r="A3" s="240"/>
      <x:c r="B3" s="238"/>
      <x:c r="C3" s="256"/>
      <x:c r="D3" s="257"/>
      <x:c r="E3" s="256"/>
      <x:c r="F3" s="256"/>
      <x:c r="G3" s="256"/>
      <x:c r="H3" s="238"/>
      <x:c r="I3" s="3" t="s">
        <x:v>23</x:v>
      </x:c>
      <x:c r="J3" s="3" t="s">
        <x:v>24</x:v>
      </x:c>
      <x:c r="K3" s="3" t="s">
        <x:v>25</x:v>
      </x:c>
      <x:c r="L3" s="3" t="s">
        <x:v>26</x:v>
      </x:c>
      <x:c r="M3" s="3" t="s">
        <x:v>27</x:v>
      </x:c>
      <x:c r="N3" s="3" t="s">
        <x:v>28</x:v>
      </x:c>
      <x:c r="O3" s="3" t="s">
        <x:v>29</x:v>
      </x:c>
      <x:c r="P3" s="3" t="s">
        <x:v>30</x:v>
      </x:c>
      <x:c r="Q3" s="3" t="s">
        <x:v>31</x:v>
      </x:c>
      <x:c r="R3" s="3" t="s">
        <x:v>32</x:v>
      </x:c>
    </x:row>
    <x:row r="4" ht="182.39999389648438" customHeight="1">
      <x:c r="A4" s="66">
        <x:v>1</x:v>
      </x:c>
      <x:c r="B4" s="70" t="s">
        <x:v>1145</x:v>
      </x:c>
      <x:c r="C4" s="70" t="s">
        <x:v>1146</x:v>
      </x:c>
      <x:c r="D4" s="6"/>
      <x:c r="E4" s="60" t="s">
        <x:v>1147</x:v>
      </x:c>
      <x:c r="F4" s="6" t="s">
        <x:v>653</x:v>
      </x:c>
      <x:c r="G4" s="6"/>
      <x:c r="H4" s="6" t="s">
        <x:v>1148</x:v>
      </x:c>
      <x:c r="I4" s="58"/>
      <x:c r="J4" s="58"/>
      <x:c r="K4" s="58" t="s">
        <x:v>60</x:v>
      </x:c>
      <x:c r="L4" s="58"/>
      <x:c r="M4" s="58"/>
      <x:c r="N4" s="58"/>
      <x:c r="O4" s="58"/>
      <x:c r="P4" s="58"/>
      <x:c r="Q4" s="58"/>
      <x:c r="R4" s="58"/>
    </x:row>
    <x:row r="5" ht="221.39999389648438" customHeight="1">
      <x:c r="A5" s="72">
        <x:v>2</x:v>
      </x:c>
      <x:c r="B5" s="70" t="s">
        <x:v>1149</x:v>
      </x:c>
      <x:c r="C5" s="70" t="s">
        <x:v>1150</x:v>
      </x:c>
      <x:c r="D5" s="6"/>
      <x:c r="E5" s="60" t="s">
        <x:v>1151</x:v>
      </x:c>
      <x:c r="F5" s="6" t="s">
        <x:v>496</x:v>
      </x:c>
      <x:c r="G5" s="6" t="s">
        <x:v>496</x:v>
      </x:c>
      <x:c r="H5" s="6"/>
      <x:c r="I5" s="58"/>
      <x:c r="J5" s="58"/>
      <x:c r="K5" s="58"/>
      <x:c r="L5" s="58"/>
      <x:c r="M5" s="58" t="s">
        <x:v>60</x:v>
      </x:c>
      <x:c r="N5" s="58"/>
      <x:c r="O5" s="58"/>
      <x:c r="P5" s="58"/>
      <x:c r="Q5" s="58"/>
      <x:c r="R5" s="58"/>
    </x:row>
    <x:row r="6" ht="196.9499969482422" customHeight="1">
      <x:c r="A6" s="66">
        <x:v>3</x:v>
      </x:c>
      <x:c r="B6" s="70" t="s">
        <x:v>1152</x:v>
      </x:c>
      <x:c r="C6" s="70" t="s">
        <x:v>1153</x:v>
      </x:c>
      <x:c r="D6" s="6"/>
      <x:c r="E6" s="60" t="s">
        <x:v>1154</x:v>
      </x:c>
      <x:c r="F6" s="6" t="s">
        <x:v>496</x:v>
      </x:c>
      <x:c r="G6" s="6" t="s">
        <x:v>496</x:v>
      </x:c>
      <x:c r="H6" s="6"/>
      <x:c r="I6" s="58"/>
      <x:c r="J6" s="58"/>
      <x:c r="K6" s="58" t="s">
        <x:v>60</x:v>
      </x:c>
      <x:c r="L6" s="58"/>
      <x:c r="M6" s="58"/>
      <x:c r="N6" s="58"/>
      <x:c r="O6" s="58"/>
      <x:c r="P6" s="58"/>
      <x:c r="Q6" s="58"/>
      <x:c r="R6" s="58"/>
    </x:row>
    <x:row r="7" ht="180" customHeight="1">
      <x:c r="A7" s="65">
        <x:v>4</x:v>
      </x:c>
      <x:c r="B7" s="70" t="s">
        <x:v>1155</x:v>
      </x:c>
      <x:c r="C7" s="70" t="s">
        <x:v>1156</x:v>
      </x:c>
      <x:c r="D7" s="6"/>
      <x:c r="E7" s="60" t="s">
        <x:v>1157</x:v>
      </x:c>
      <x:c r="F7" s="6"/>
      <x:c r="G7" s="6"/>
      <x:c r="H7" s="6"/>
      <x:c r="I7" s="58"/>
      <x:c r="J7" s="58" t="s">
        <x:v>60</x:v>
      </x:c>
      <x:c r="K7" s="58"/>
      <x:c r="L7" s="58"/>
      <x:c r="M7" s="58"/>
      <x:c r="N7" s="58"/>
      <x:c r="O7" s="58"/>
      <x:c r="P7" s="58"/>
      <x:c r="Q7" s="58"/>
      <x:c r="R7" s="58"/>
    </x:row>
    <x:row r="8" ht="131.39999389648438" customHeight="1">
      <x:c r="A8" s="72">
        <x:v>5</x:v>
      </x:c>
      <x:c r="B8" s="70" t="s">
        <x:v>1158</x:v>
      </x:c>
      <x:c r="C8" s="70" t="s">
        <x:v>1159</x:v>
      </x:c>
      <x:c r="D8" s="6"/>
      <x:c r="E8" s="60" t="s">
        <x:v>1160</x:v>
      </x:c>
      <x:c r="F8" s="6"/>
      <x:c r="G8" s="6"/>
      <x:c r="H8" s="6"/>
      <x:c r="I8" s="58"/>
      <x:c r="J8" s="58"/>
      <x:c r="K8" s="58"/>
      <x:c r="L8" s="58"/>
      <x:c r="M8" s="58" t="s">
        <x:v>60</x:v>
      </x:c>
      <x:c r="N8" s="58"/>
      <x:c r="O8" s="58"/>
      <x:c r="P8" s="58"/>
      <x:c r="Q8" s="58"/>
      <x:c r="R8" s="58"/>
    </x:row>
    <x:row r="9" ht="150" customHeight="1">
      <x:c r="A9" s="65">
        <x:v>6</x:v>
      </x:c>
      <x:c r="B9" s="70" t="s">
        <x:v>1161</x:v>
      </x:c>
      <x:c r="C9" s="70" t="s">
        <x:v>1162</x:v>
      </x:c>
      <x:c r="D9" s="6"/>
      <x:c r="E9" s="60" t="s">
        <x:v>1163</x:v>
      </x:c>
      <x:c r="F9" s="6" t="s">
        <x:v>1164</x:v>
      </x:c>
      <x:c r="G9" s="6" t="s">
        <x:v>66</x:v>
      </x:c>
      <x:c r="H9" s="6"/>
      <x:c r="I9" s="58"/>
      <x:c r="J9" s="58" t="s">
        <x:v>60</x:v>
      </x:c>
      <x:c r="K9" s="58"/>
      <x:c r="L9" s="58"/>
      <x:c r="M9" s="58"/>
      <x:c r="N9" s="58"/>
      <x:c r="O9" s="58"/>
      <x:c r="P9" s="58"/>
      <x:c r="Q9" s="58"/>
      <x:c r="R9" s="58"/>
    </x:row>
    <x:row r="10" ht="132" customHeight="1">
      <x:c r="A10" s="65">
        <x:v>7</x:v>
      </x:c>
      <x:c r="B10" s="70" t="s">
        <x:v>1165</x:v>
      </x:c>
      <x:c r="C10" s="70" t="s">
        <x:v>1166</x:v>
      </x:c>
      <x:c r="D10" s="6"/>
      <x:c r="E10" s="60" t="s">
        <x:v>1167</x:v>
      </x:c>
      <x:c r="F10" s="6" t="s">
        <x:v>1164</x:v>
      </x:c>
      <x:c r="G10" s="6" t="s">
        <x:v>66</x:v>
      </x:c>
      <x:c r="H10" s="6" t="s">
        <x:v>1168</x:v>
      </x:c>
      <x:c r="I10" s="58"/>
      <x:c r="J10" s="58" t="s">
        <x:v>60</x:v>
      </x:c>
      <x:c r="K10" s="58"/>
      <x:c r="L10" s="58"/>
      <x:c r="M10" s="58"/>
      <x:c r="N10" s="58"/>
      <x:c r="O10" s="58"/>
      <x:c r="P10" s="58"/>
      <x:c r="Q10" s="58"/>
      <x:c r="R10" s="58"/>
    </x:row>
    <x:row r="11" ht="169.9499969482422" customHeight="1">
      <x:c r="A11" s="72">
        <x:v>8</x:v>
      </x:c>
      <x:c r="B11" s="70" t="s">
        <x:v>1169</x:v>
      </x:c>
      <x:c r="C11" s="70" t="s">
        <x:v>1170</x:v>
      </x:c>
      <x:c r="D11" s="6"/>
      <x:c r="E11" s="60" t="s">
        <x:v>1171</x:v>
      </x:c>
      <x:c r="F11" s="6"/>
      <x:c r="G11" s="6"/>
      <x:c r="H11" s="6"/>
      <x:c r="I11" s="58"/>
      <x:c r="J11" s="58"/>
      <x:c r="K11" s="58"/>
      <x:c r="L11" s="58"/>
      <x:c r="M11" s="58" t="s">
        <x:v>60</x:v>
      </x:c>
      <x:c r="N11" s="58"/>
      <x:c r="O11" s="58"/>
      <x:c r="P11" s="58"/>
      <x:c r="Q11" s="58"/>
      <x:c r="R11" s="58"/>
    </x:row>
    <x:row r="12" ht="172.1999969482422" customHeight="1">
      <x:c r="A12" s="65">
        <x:v>9</x:v>
      </x:c>
      <x:c r="B12" s="70" t="s">
        <x:v>1172</x:v>
      </x:c>
      <x:c r="C12" s="70" t="s">
        <x:v>1173</x:v>
      </x:c>
      <x:c r="D12" s="6"/>
      <x:c r="E12" s="60" t="s">
        <x:v>1174</x:v>
      </x:c>
      <x:c r="F12" s="6" t="s">
        <x:v>1025</x:v>
      </x:c>
      <x:c r="G12" s="6"/>
      <x:c r="H12" s="6" t="s">
        <x:v>1175</x:v>
      </x:c>
      <x:c r="I12" s="58"/>
      <x:c r="J12" s="58" t="s">
        <x:v>60</x:v>
      </x:c>
      <x:c r="K12" s="58"/>
      <x:c r="L12" s="58"/>
      <x:c r="M12" s="58"/>
      <x:c r="N12" s="58"/>
      <x:c r="O12" s="58"/>
      <x:c r="P12" s="58"/>
      <x:c r="Q12" s="58"/>
      <x:c r="R12" s="58"/>
    </x:row>
    <x:row r="13" ht="148.1999969482422" customHeight="1">
      <x:c r="A13" s="79">
        <x:v>10</x:v>
      </x:c>
      <x:c r="B13" s="70" t="s">
        <x:v>1176</x:v>
      </x:c>
      <x:c r="C13" s="70" t="s">
        <x:v>1177</x:v>
      </x:c>
      <x:c r="D13" s="6"/>
      <x:c r="E13" s="60" t="s">
        <x:v>1178</x:v>
      </x:c>
      <x:c r="F13" s="6" t="s">
        <x:v>1025</x:v>
      </x:c>
      <x:c r="G13" s="6"/>
      <x:c r="H13" s="6"/>
      <x:c r="I13" s="58"/>
      <x:c r="J13" s="58"/>
      <x:c r="K13" s="58"/>
      <x:c r="L13" s="58"/>
      <x:c r="M13" s="58"/>
      <x:c r="N13" s="58"/>
      <x:c r="O13" s="58"/>
      <x:c r="P13" s="58" t="s">
        <x:v>60</x:v>
      </x:c>
      <x:c r="Q13" s="58"/>
      <x:c r="R13" s="58"/>
    </x:row>
    <x:row r="14" ht="149.39999389648438" customHeight="1">
      <x:c r="A14" s="65">
        <x:v>11</x:v>
      </x:c>
      <x:c r="B14" s="70" t="s">
        <x:v>1179</x:v>
      </x:c>
      <x:c r="C14" s="70" t="s">
        <x:v>1180</x:v>
      </x:c>
      <x:c r="D14" s="6"/>
      <x:c r="E14" s="60" t="s">
        <x:v>1181</x:v>
      </x:c>
      <x:c r="F14" s="6" t="s">
        <x:v>1164</x:v>
      </x:c>
      <x:c r="G14" s="6" t="s">
        <x:v>66</x:v>
      </x:c>
      <x:c r="H14" s="6"/>
      <x:c r="I14" s="58"/>
      <x:c r="J14" s="58" t="s">
        <x:v>60</x:v>
      </x:c>
      <x:c r="K14" s="58"/>
      <x:c r="L14" s="58"/>
      <x:c r="M14" s="58"/>
      <x:c r="N14" s="58"/>
      <x:c r="O14" s="58"/>
      <x:c r="P14" s="58"/>
      <x:c r="Q14" s="58"/>
      <x:c r="R14" s="58"/>
    </x:row>
    <x:row r="15" ht="154.9499969482422" customHeight="1">
      <x:c r="A15" s="65">
        <x:v>12</x:v>
      </x:c>
      <x:c r="B15" s="70" t="s">
        <x:v>1172</x:v>
      </x:c>
      <x:c r="C15" s="70" t="s">
        <x:v>1182</x:v>
      </x:c>
      <x:c r="D15" s="6"/>
      <x:c r="E15" s="60" t="s">
        <x:v>1183</x:v>
      </x:c>
      <x:c r="F15" s="6" t="s">
        <x:v>1025</x:v>
      </x:c>
      <x:c r="G15" s="6"/>
      <x:c r="H15" s="6" t="s">
        <x:v>1175</x:v>
      </x:c>
      <x:c r="I15" s="58"/>
      <x:c r="J15" s="58" t="s">
        <x:v>60</x:v>
      </x:c>
      <x:c r="K15" s="58"/>
      <x:c r="L15" s="58"/>
      <x:c r="M15" s="58"/>
      <x:c r="N15" s="58"/>
      <x:c r="O15" s="58"/>
      <x:c r="P15" s="58"/>
      <x:c r="Q15" s="58"/>
      <x:c r="R15" s="58"/>
    </x:row>
    <x:row r="16" ht="201.60000610351562">
      <x:c r="A16" s="65">
        <x:v>13</x:v>
      </x:c>
      <x:c r="B16" s="70" t="s">
        <x:v>1184</x:v>
      </x:c>
      <x:c r="C16" s="70" t="s">
        <x:v>1185</x:v>
      </x:c>
      <x:c r="D16" s="6"/>
      <x:c r="E16" s="60" t="s">
        <x:v>1186</x:v>
      </x:c>
      <x:c r="F16" s="6" t="s">
        <x:v>1164</x:v>
      </x:c>
      <x:c r="G16" s="6" t="s">
        <x:v>66</x:v>
      </x:c>
      <x:c r="H16" s="6" t="s">
        <x:v>1187</x:v>
      </x:c>
      <x:c r="I16" s="58"/>
      <x:c r="J16" s="58" t="s">
        <x:v>60</x:v>
      </x:c>
      <x:c r="K16" s="58"/>
      <x:c r="L16" s="58"/>
      <x:c r="M16" s="58"/>
      <x:c r="N16" s="58"/>
      <x:c r="O16" s="58"/>
      <x:c r="P16" s="58"/>
      <x:c r="Q16" s="58"/>
      <x:c r="R16" s="58"/>
    </x:row>
    <x:row r="17" ht="138.60000610351562" customHeight="1">
      <x:c r="A17" s="76">
        <x:v>14</x:v>
      </x:c>
      <x:c r="B17" s="70" t="s">
        <x:v>1188</x:v>
      </x:c>
      <x:c r="C17" s="70" t="s">
        <x:v>1189</x:v>
      </x:c>
      <x:c r="D17" s="6"/>
      <x:c r="E17" s="60" t="s">
        <x:v>1190</x:v>
      </x:c>
      <x:c r="F17" s="6" t="s">
        <x:v>1164</x:v>
      </x:c>
      <x:c r="G17" s="6" t="s">
        <x:v>66</x:v>
      </x:c>
      <x:c r="H17" s="6"/>
      <x:c r="I17" s="58"/>
      <x:c r="J17" s="58"/>
      <x:c r="K17" s="58"/>
      <x:c r="L17" s="58" t="s">
        <x:v>60</x:v>
      </x:c>
      <x:c r="M17" s="58"/>
      <x:c r="N17" s="58"/>
      <x:c r="O17" s="58"/>
      <x:c r="P17" s="58"/>
      <x:c r="Q17" s="58"/>
      <x:c r="R17" s="58"/>
    </x:row>
    <x:row r="18" ht="114.5999984741211" customHeight="1">
      <x:c r="A18" s="65">
        <x:v>15</x:v>
      </x:c>
      <x:c r="B18" s="70" t="s">
        <x:v>1191</x:v>
      </x:c>
      <x:c r="C18" s="70" t="s">
        <x:v>1192</x:v>
      </x:c>
      <x:c r="D18" s="6"/>
      <x:c r="E18" s="60" t="s">
        <x:v>1193</x:v>
      </x:c>
      <x:c r="F18" s="6" t="s">
        <x:v>1025</x:v>
      </x:c>
      <x:c r="G18" s="6"/>
      <x:c r="H18" s="6" t="s">
        <x:v>1175</x:v>
      </x:c>
      <x:c r="I18" s="58"/>
      <x:c r="J18" s="58" t="s">
        <x:v>60</x:v>
      </x:c>
      <x:c r="K18" s="58"/>
      <x:c r="L18" s="58"/>
      <x:c r="M18" s="58"/>
      <x:c r="N18" s="58"/>
      <x:c r="O18" s="58"/>
      <x:c r="P18" s="58"/>
      <x:c r="Q18" s="58"/>
      <x:c r="R18" s="58"/>
    </x:row>
    <x:row r="19" ht="151.1999969482422" customHeight="1">
      <x:c r="A19" s="65">
        <x:v>16</x:v>
      </x:c>
      <x:c r="B19" s="70" t="s">
        <x:v>1194</x:v>
      </x:c>
      <x:c r="C19" s="70" t="s">
        <x:v>1195</x:v>
      </x:c>
      <x:c r="D19" s="6"/>
      <x:c r="E19" s="60" t="s">
        <x:v>1196</x:v>
      </x:c>
      <x:c r="F19" s="6" t="s">
        <x:v>653</x:v>
      </x:c>
      <x:c r="G19" s="6"/>
      <x:c r="H19" s="6"/>
      <x:c r="I19" s="58"/>
      <x:c r="J19" s="58"/>
      <x:c r="K19" s="58"/>
      <x:c r="L19" s="58"/>
      <x:c r="M19" s="58"/>
      <x:c r="N19" s="58"/>
      <x:c r="O19" s="58" t="s">
        <x:v>60</x:v>
      </x:c>
      <x:c r="P19" s="58"/>
      <x:c r="Q19" s="58"/>
      <x:c r="R19" s="58"/>
    </x:row>
    <x:row r="20" ht="115.94999694824219" customHeight="1">
      <x:c r="A20" s="65">
        <x:v>17</x:v>
      </x:c>
      <x:c r="B20" s="70" t="s">
        <x:v>1197</x:v>
      </x:c>
      <x:c r="C20" s="70" t="s">
        <x:v>1198</x:v>
      </x:c>
      <x:c r="D20" s="6"/>
      <x:c r="E20" s="60" t="s">
        <x:v>1199</x:v>
      </x:c>
      <x:c r="F20" s="6" t="s">
        <x:v>1025</x:v>
      </x:c>
      <x:c r="G20" s="6"/>
      <x:c r="H20" s="6" t="s">
        <x:v>1175</x:v>
      </x:c>
      <x:c r="I20" s="58"/>
      <x:c r="J20" s="58" t="s">
        <x:v>60</x:v>
      </x:c>
      <x:c r="K20" s="58"/>
      <x:c r="L20" s="58"/>
      <x:c r="M20" s="58"/>
      <x:c r="N20" s="58"/>
      <x:c r="O20" s="58"/>
      <x:c r="P20" s="58"/>
      <x:c r="Q20" s="58"/>
      <x:c r="R20" s="58"/>
    </x:row>
    <x:row r="21" ht="187.1999969482422" customHeight="1">
      <x:c r="A21" s="65">
        <x:v>18</x:v>
      </x:c>
      <x:c r="B21" s="70" t="s">
        <x:v>1200</x:v>
      </x:c>
      <x:c r="C21" s="70" t="s">
        <x:v>1201</x:v>
      </x:c>
      <x:c r="D21" s="6"/>
      <x:c r="E21" s="60" t="s">
        <x:v>1202</x:v>
      </x:c>
      <x:c r="F21" s="6" t="s">
        <x:v>1025</x:v>
      </x:c>
      <x:c r="G21" s="6"/>
      <x:c r="H21" s="6" t="s">
        <x:v>1175</x:v>
      </x:c>
      <x:c r="I21" s="58"/>
      <x:c r="J21" s="58" t="s">
        <x:v>60</x:v>
      </x:c>
      <x:c r="K21" s="58"/>
      <x:c r="L21" s="58"/>
      <x:c r="M21" s="58"/>
      <x:c r="N21" s="58"/>
      <x:c r="O21" s="58"/>
      <x:c r="P21" s="58"/>
      <x:c r="Q21" s="58"/>
      <x:c r="R21" s="58"/>
    </x:row>
    <x:row r="22" ht="192.60000610351562" customHeight="1">
      <x:c r="A22" s="65">
        <x:v>19</x:v>
      </x:c>
      <x:c r="B22" s="70" t="s">
        <x:v>1203</x:v>
      </x:c>
      <x:c r="C22" s="70" t="s">
        <x:v>1204</x:v>
      </x:c>
      <x:c r="D22" s="6"/>
      <x:c r="E22" s="60" t="s">
        <x:v>1205</x:v>
      </x:c>
      <x:c r="F22" s="6" t="s">
        <x:v>1025</x:v>
      </x:c>
      <x:c r="G22" s="6"/>
      <x:c r="H22" s="6" t="s">
        <x:v>1206</x:v>
      </x:c>
      <x:c r="I22" s="58"/>
      <x:c r="J22" s="58" t="s">
        <x:v>60</x:v>
      </x:c>
      <x:c r="K22" s="58"/>
      <x:c r="L22" s="58"/>
      <x:c r="M22" s="58"/>
      <x:c r="N22" s="58"/>
      <x:c r="O22" s="58"/>
      <x:c r="P22" s="58"/>
      <x:c r="Q22" s="58"/>
      <x:c r="R22" s="58"/>
    </x:row>
    <x:row r="23" ht="195.60000610351562" customHeight="1">
      <x:c r="A23" s="65">
        <x:v>20</x:v>
      </x:c>
      <x:c r="B23" s="70" t="s">
        <x:v>1165</x:v>
      </x:c>
      <x:c r="C23" s="70" t="s">
        <x:v>1207</x:v>
      </x:c>
      <x:c r="D23" s="6"/>
      <x:c r="E23" s="60" t="s">
        <x:v>1208</x:v>
      </x:c>
      <x:c r="F23" s="6"/>
      <x:c r="G23" s="6" t="s">
        <x:v>66</x:v>
      </x:c>
      <x:c r="H23" s="6"/>
      <x:c r="I23" s="58"/>
      <x:c r="J23" s="58" t="s">
        <x:v>60</x:v>
      </x:c>
      <x:c r="K23" s="58"/>
      <x:c r="L23" s="58"/>
      <x:c r="M23" s="58"/>
      <x:c r="N23" s="58"/>
      <x:c r="O23" s="58"/>
      <x:c r="P23" s="58"/>
      <x:c r="Q23" s="58"/>
      <x:c r="R23" s="58"/>
    </x:row>
    <x:row r="24" ht="199.9499969482422" customHeight="1">
      <x:c r="A24" s="83">
        <x:v>21</x:v>
      </x:c>
      <x:c r="B24" s="70" t="s">
        <x:v>1209</x:v>
      </x:c>
      <x:c r="C24" s="70" t="s">
        <x:v>1210</x:v>
      </x:c>
      <x:c r="D24" s="6"/>
      <x:c r="E24" s="60" t="s">
        <x:v>1211</x:v>
      </x:c>
      <x:c r="F24" s="6" t="s">
        <x:v>653</x:v>
      </x:c>
      <x:c r="G24" s="6"/>
      <x:c r="H24" s="6"/>
      <x:c r="I24" s="58"/>
      <x:c r="J24" s="58"/>
      <x:c r="K24" s="58"/>
      <x:c r="L24" s="58"/>
      <x:c r="M24" s="58"/>
      <x:c r="N24" s="58"/>
      <x:c r="O24" s="58" t="s">
        <x:v>60</x:v>
      </x:c>
      <x:c r="P24" s="58"/>
      <x:c r="Q24" s="58"/>
      <x:c r="R24" s="58"/>
    </x:row>
    <x:row r="25" ht="130.9499969482422" customHeight="1">
      <x:c r="A25" s="82">
        <x:v>22</x:v>
      </x:c>
      <x:c r="B25" s="70" t="s">
        <x:v>1212</x:v>
      </x:c>
      <x:c r="C25" s="70" t="s">
        <x:v>1213</x:v>
      </x:c>
      <x:c r="D25" s="6"/>
      <x:c r="E25" s="60" t="s">
        <x:v>1214</x:v>
      </x:c>
      <x:c r="F25" s="6" t="s">
        <x:v>1215</x:v>
      </x:c>
      <x:c r="G25" s="6"/>
      <x:c r="H25" s="6" t="s">
        <x:v>1216</x:v>
      </x:c>
      <x:c r="I25" s="58"/>
      <x:c r="J25" s="58"/>
      <x:c r="K25" s="58"/>
      <x:c r="L25" s="58"/>
      <x:c r="M25" s="58"/>
      <x:c r="N25" s="58"/>
      <x:c r="O25" s="58" t="s">
        <x:v>60</x:v>
      </x:c>
      <x:c r="P25" s="58"/>
      <x:c r="Q25" s="58"/>
      <x:c r="R25" s="58"/>
    </x:row>
    <x:row r="26" ht="118.19999694824219" customHeight="1">
      <x:c r="A26" s="78">
        <x:v>23</x:v>
      </x:c>
      <x:c r="B26" s="70" t="s">
        <x:v>1217</x:v>
      </x:c>
      <x:c r="C26" s="70" t="s">
        <x:v>1218</x:v>
      </x:c>
      <x:c r="D26" s="6"/>
      <x:c r="E26" s="60" t="s">
        <x:v>1219</x:v>
      </x:c>
      <x:c r="F26" s="6"/>
      <x:c r="G26" s="6"/>
      <x:c r="H26" s="6"/>
      <x:c r="I26" s="58"/>
      <x:c r="J26" s="58"/>
      <x:c r="K26" s="58"/>
      <x:c r="L26" s="58"/>
      <x:c r="M26" s="58"/>
      <x:c r="N26" s="58"/>
      <x:c r="O26" s="58" t="s">
        <x:v>60</x:v>
      </x:c>
      <x:c r="P26" s="58"/>
      <x:c r="Q26" s="58"/>
      <x:c r="R26" s="58"/>
    </x:row>
    <x:row r="27" ht="184.9499969482422" customHeight="1">
      <x:c r="A27" s="79">
        <x:v>24</x:v>
      </x:c>
      <x:c r="B27" s="70" t="s">
        <x:v>1220</x:v>
      </x:c>
      <x:c r="C27" s="70" t="s">
        <x:v>1221</x:v>
      </x:c>
      <x:c r="D27" s="6"/>
      <x:c r="E27" s="60" t="s">
        <x:v>1222</x:v>
      </x:c>
      <x:c r="F27" s="6" t="s">
        <x:v>653</x:v>
      </x:c>
      <x:c r="G27" s="6"/>
      <x:c r="H27" s="6"/>
      <x:c r="I27" s="58"/>
      <x:c r="J27" s="58"/>
      <x:c r="K27" s="58"/>
      <x:c r="L27" s="58"/>
      <x:c r="M27" s="58"/>
      <x:c r="N27" s="58"/>
      <x:c r="O27" s="58"/>
      <x:c r="P27" s="58" t="s">
        <x:v>60</x:v>
      </x:c>
      <x:c r="Q27" s="58"/>
      <x:c r="R27" s="58"/>
    </x:row>
    <x:row r="28" ht="173.39999389648438" customHeight="1">
      <x:c r="A28" s="65">
        <x:v>25</x:v>
      </x:c>
      <x:c r="B28" s="70" t="s">
        <x:v>1169</x:v>
      </x:c>
      <x:c r="C28" s="70" t="s">
        <x:v>1223</x:v>
      </x:c>
      <x:c r="D28" s="6"/>
      <x:c r="E28" s="60" t="s">
        <x:v>1224</x:v>
      </x:c>
      <x:c r="F28" s="6" t="s">
        <x:v>1025</x:v>
      </x:c>
      <x:c r="G28" s="6"/>
      <x:c r="H28" s="6" t="s">
        <x:v>1175</x:v>
      </x:c>
      <x:c r="I28" s="58"/>
      <x:c r="J28" s="58" t="s">
        <x:v>60</x:v>
      </x:c>
      <x:c r="K28" s="58"/>
      <x:c r="L28" s="58"/>
      <x:c r="M28" s="58"/>
      <x:c r="N28" s="58"/>
      <x:c r="O28" s="58"/>
      <x:c r="P28" s="58"/>
      <x:c r="Q28" s="58"/>
      <x:c r="R28" s="58"/>
    </x:row>
    <x:row r="29" ht="150.60000610351562" customHeight="1">
      <x:c r="A29" s="79">
        <x:v>26</x:v>
      </x:c>
      <x:c r="B29" s="70" t="s">
        <x:v>1225</x:v>
      </x:c>
      <x:c r="C29" s="70" t="s">
        <x:v>1226</x:v>
      </x:c>
      <x:c r="D29" s="6"/>
      <x:c r="E29" s="60" t="s">
        <x:v>1227</x:v>
      </x:c>
      <x:c r="F29" s="6" t="s">
        <x:v>1228</x:v>
      </x:c>
      <x:c r="G29" s="6"/>
      <x:c r="H29" s="6"/>
      <x:c r="I29" s="58"/>
      <x:c r="J29" s="58"/>
      <x:c r="K29" s="58"/>
      <x:c r="L29" s="58"/>
      <x:c r="M29" s="58"/>
      <x:c r="N29" s="58"/>
      <x:c r="O29" s="58"/>
      <x:c r="P29" s="58" t="s">
        <x:v>60</x:v>
      </x:c>
      <x:c r="Q29" s="58"/>
      <x:c r="R29" s="58"/>
    </x:row>
    <x:row r="30" ht="157.9499969482422" customHeight="1">
      <x:c r="A30" s="80">
        <x:v>27</x:v>
      </x:c>
      <x:c r="B30" s="71" t="s">
        <x:v>1229</x:v>
      </x:c>
      <x:c r="C30" s="71" t="s">
        <x:v>1230</x:v>
      </x:c>
      <x:c r="D30" s="6"/>
      <x:c r="E30" s="61" t="s">
        <x:v>1231</x:v>
      </x:c>
      <x:c r="F30" s="6" t="s">
        <x:v>1228</x:v>
      </x:c>
      <x:c r="G30" s="6"/>
      <x:c r="H30" s="6"/>
      <x:c r="I30" s="58"/>
      <x:c r="J30" s="58"/>
      <x:c r="K30" s="58"/>
      <x:c r="L30" s="85"/>
      <x:c r="M30" s="58"/>
      <x:c r="N30" s="58"/>
      <x:c r="O30" s="58"/>
      <x:c r="P30" s="58"/>
      <x:c r="Q30" s="58" t="s">
        <x:v>60</x:v>
      </x:c>
      <x:c r="R30" s="58"/>
    </x:row>
    <x:row r="31" ht="160.1999969482422" customHeight="1">
      <x:c r="A31" s="72">
        <x:v>28</x:v>
      </x:c>
      <x:c r="B31" s="71" t="s">
        <x:v>1232</x:v>
      </x:c>
      <x:c r="C31" s="71" t="s">
        <x:v>1233</x:v>
      </x:c>
      <x:c r="D31" s="6"/>
      <x:c r="E31" s="61" t="s">
        <x:v>1234</x:v>
      </x:c>
      <x:c r="F31" s="6" t="s">
        <x:v>1228</x:v>
      </x:c>
      <x:c r="G31" s="6"/>
      <x:c r="H31" s="6"/>
      <x:c r="I31" s="58"/>
      <x:c r="J31" s="58"/>
      <x:c r="K31" s="58"/>
      <x:c r="L31" s="85"/>
      <x:c r="M31" s="58" t="s">
        <x:v>60</x:v>
      </x:c>
      <x:c r="N31" s="58"/>
      <x:c r="O31" s="58"/>
      <x:c r="P31" s="58"/>
      <x:c r="Q31" s="58"/>
      <x:c r="R31" s="58"/>
    </x:row>
    <x:row r="32" ht="271.20001220703125" customHeight="1">
      <x:c r="A32" s="35">
        <x:v>29</x:v>
      </x:c>
      <x:c r="B32" s="71" t="s">
        <x:v>1235</x:v>
      </x:c>
      <x:c r="C32" s="71" t="s">
        <x:v>1236</x:v>
      </x:c>
      <x:c r="D32" s="6"/>
      <x:c r="E32" s="61" t="s">
        <x:v>1237</x:v>
      </x:c>
      <x:c r="F32" s="6"/>
      <x:c r="G32" s="6"/>
      <x:c r="H32" s="6"/>
      <x:c r="I32" s="58" t="s">
        <x:v>60</x:v>
      </x:c>
      <x:c r="J32" s="58"/>
      <x:c r="K32" s="58"/>
      <x:c r="L32" s="58"/>
      <x:c r="M32" s="58"/>
      <x:c r="N32" s="58"/>
      <x:c r="O32" s="58"/>
      <x:c r="P32" s="58"/>
      <x:c r="Q32" s="58"/>
      <x:c r="R32" s="58"/>
    </x:row>
    <x:row r="33" ht="139.9499969482422" customHeight="1">
      <x:c r="A33" s="35">
        <x:v>30</x:v>
      </x:c>
      <x:c r="B33" s="71" t="s">
        <x:v>1238</x:v>
      </x:c>
      <x:c r="C33" s="71" t="s">
        <x:v>1239</x:v>
      </x:c>
      <x:c r="D33" s="6"/>
      <x:c r="E33" s="61" t="s">
        <x:v>1240</x:v>
      </x:c>
      <x:c r="F33" s="6"/>
      <x:c r="G33" s="6" t="s">
        <x:v>114</x:v>
      </x:c>
      <x:c r="H33" s="6"/>
      <x:c r="I33" s="58"/>
      <x:c r="J33" s="58" t="s">
        <x:v>60</x:v>
      </x:c>
      <x:c r="K33" s="58"/>
      <x:c r="L33" s="58"/>
      <x:c r="M33" s="58"/>
      <x:c r="N33" s="58"/>
      <x:c r="O33" s="58"/>
      <x:c r="P33" s="58"/>
      <x:c r="Q33" s="58"/>
      <x:c r="R33" s="58"/>
    </x:row>
    <x:row r="34" ht="208.1999969482422" customHeight="1">
      <x:c r="A34" s="76">
        <x:v>31</x:v>
      </x:c>
      <x:c r="B34" s="71" t="s">
        <x:v>1241</x:v>
      </x:c>
      <x:c r="C34" s="71" t="s">
        <x:v>1242</x:v>
      </x:c>
      <x:c r="D34" s="6"/>
      <x:c r="E34" s="61" t="s">
        <x:v>1243</x:v>
      </x:c>
      <x:c r="F34" s="6"/>
      <x:c r="G34" s="6" t="s">
        <x:v>66</x:v>
      </x:c>
      <x:c r="H34" s="6"/>
      <x:c r="I34" s="58"/>
      <x:c r="J34" s="58"/>
      <x:c r="K34" s="58"/>
      <x:c r="L34" s="58" t="s">
        <x:v>60</x:v>
      </x:c>
      <x:c r="M34" s="58"/>
      <x:c r="N34" s="58"/>
      <x:c r="O34" s="58"/>
      <x:c r="P34" s="58"/>
      <x:c r="Q34" s="58"/>
      <x:c r="R34" s="58"/>
    </x:row>
    <x:row r="35" ht="159.60000610351562" customHeight="1">
      <x:c r="A35" s="65">
        <x:v>32</x:v>
      </x:c>
      <x:c r="B35" s="71" t="s">
        <x:v>1244</x:v>
      </x:c>
      <x:c r="C35" s="71" t="s">
        <x:v>1245</x:v>
      </x:c>
      <x:c r="D35" s="6"/>
      <x:c r="E35" s="61" t="s">
        <x:v>1246</x:v>
      </x:c>
      <x:c r="F35" s="6" t="s">
        <x:v>1025</x:v>
      </x:c>
      <x:c r="G35" s="6"/>
      <x:c r="H35" s="6"/>
      <x:c r="I35" s="58"/>
      <x:c r="J35" s="58"/>
      <x:c r="K35" s="58"/>
      <x:c r="L35" s="58" t="s">
        <x:v>60</x:v>
      </x:c>
      <x:c r="M35" s="58"/>
      <x:c r="N35" s="58"/>
      <x:c r="O35" s="58"/>
      <x:c r="P35" s="58"/>
      <x:c r="Q35" s="58"/>
      <x:c r="R35" s="58"/>
    </x:row>
    <x:row r="36" ht="136.1999969482422" customHeight="1">
      <x:c r="A36" s="80">
        <x:v>33</x:v>
      </x:c>
      <x:c r="B36" s="71" t="s">
        <x:v>1247</x:v>
      </x:c>
      <x:c r="C36" s="71" t="s">
        <x:v>1248</x:v>
      </x:c>
      <x:c r="D36" s="6"/>
      <x:c r="E36" s="61" t="s">
        <x:v>1249</x:v>
      </x:c>
      <x:c r="F36" s="6" t="s">
        <x:v>1228</x:v>
      </x:c>
      <x:c r="G36" s="6"/>
      <x:c r="H36" s="6"/>
      <x:c r="I36" s="58"/>
      <x:c r="J36" s="58"/>
      <x:c r="K36" s="58"/>
      <x:c r="L36" s="58"/>
      <x:c r="M36" s="58"/>
      <x:c r="N36" s="58"/>
      <x:c r="O36" s="58"/>
      <x:c r="P36" s="58"/>
      <x:c r="Q36" s="58" t="s">
        <x:v>60</x:v>
      </x:c>
      <x:c r="R36" s="58"/>
    </x:row>
    <x:row r="37" ht="103.94999694824219" customHeight="1">
      <x:c r="A37" s="35">
        <x:v>34</x:v>
      </x:c>
      <x:c r="B37" s="71"/>
      <x:c r="C37" s="71"/>
      <x:c r="D37" s="6"/>
      <x:c r="E37" s="61"/>
      <x:c r="F37" s="6"/>
      <x:c r="G37" s="6"/>
      <x:c r="H37" s="6"/>
      <x:c r="I37" s="58"/>
      <x:c r="J37" s="58"/>
      <x:c r="K37" s="58"/>
      <x:c r="L37" s="58"/>
      <x:c r="M37" s="58"/>
      <x:c r="N37" s="58"/>
      <x:c r="O37" s="58"/>
      <x:c r="P37" s="58"/>
      <x:c r="Q37" s="58"/>
      <x:c r="R37" s="58"/>
    </x:row>
    <x:row r="38" ht="105" customHeight="1">
      <x:c r="A38" s="65">
        <x:v>35</x:v>
      </x:c>
      <x:c r="B38" s="71"/>
      <x:c r="C38" s="71"/>
      <x:c r="D38" s="6"/>
      <x:c r="E38" s="61"/>
      <x:c r="F38" s="6"/>
      <x:c r="G38" s="6"/>
      <x:c r="H38" s="6"/>
      <x:c r="I38" s="58"/>
      <x:c r="J38" s="58"/>
      <x:c r="K38" s="58"/>
      <x:c r="L38" s="58"/>
      <x:c r="M38" s="58"/>
      <x:c r="N38" s="58"/>
      <x:c r="O38" s="58"/>
      <x:c r="P38" s="58"/>
      <x:c r="Q38" s="58"/>
      <x:c r="R38" s="58"/>
    </x:row>
    <x:row r="39" ht="38.400001525878906" customHeight="1">
      <x:c r="B39" s="9"/>
      <x:c r="C39" s="9"/>
      <x:c r="D39" s="9"/>
      <x:c r="I39" s="30" t="n">
        <x:f t="shared" ref="I39:R39" si="0">COUNTIF(I4:I38, "X")</x:f>
        <x:v>1</x:v>
      </x:c>
      <x:c r="J39" s="30">
        <x:f t="shared" si="0"/>
        <x:v>14</x:v>
      </x:c>
      <x:c r="K39" s="30">
        <x:f t="shared" si="0"/>
        <x:v>2</x:v>
      </x:c>
      <x:c r="L39" s="30">
        <x:f t="shared" si="0"/>
        <x:v>3</x:v>
      </x:c>
      <x:c r="M39" s="30">
        <x:f t="shared" si="0"/>
        <x:v>4</x:v>
      </x:c>
      <x:c r="N39" s="30">
        <x:f t="shared" si="0"/>
        <x:v>0</x:v>
      </x:c>
      <x:c r="O39" s="30">
        <x:f t="shared" si="0"/>
        <x:v>4</x:v>
      </x:c>
      <x:c r="P39" s="30">
        <x:f t="shared" si="0"/>
        <x:v>3</x:v>
      </x:c>
      <x:c r="Q39" s="30">
        <x:f t="shared" si="0"/>
        <x:v>2</x:v>
      </x:c>
      <x:c r="R39" s="30">
        <x:f t="shared" si="0"/>
        <x:v>0</x:v>
      </x:c>
    </x:row>
    <x:row r="40" ht="28.799999237060547">
      <x:c r="A40" s="73"/>
      <x:c r="B40" s="9" t="s">
        <x:v>23</x:v>
      </x:c>
      <x:c r="C40" s="9"/>
      <x:c r="D40" s="9"/>
      <x:c r="I40" s="254" t="n">
        <x:f>SUM(I39:R39)</x:f>
        <x:v>33</x:v>
      </x:c>
      <x:c r="J40" s="254"/>
      <x:c r="K40" s="254"/>
      <x:c r="L40" s="254"/>
      <x:c r="M40" s="254"/>
      <x:c r="N40" s="254"/>
      <x:c r="O40" s="254"/>
      <x:c r="P40" s="254"/>
      <x:c r="Q40" s="254"/>
      <x:c r="R40" s="254"/>
    </x:row>
    <x:row r="41">
      <x:c r="A41" s="74"/>
      <x:c r="B41" s="9" t="s">
        <x:v>24</x:v>
      </x:c>
      <x:c r="C41" s="9"/>
      <x:c r="D41" s="9"/>
    </x:row>
    <x:row r="42">
      <x:c r="A42" s="75"/>
      <x:c r="B42" s="9" t="s">
        <x:v>25</x:v>
      </x:c>
      <x:c r="C42" s="9"/>
      <x:c r="D42" s="9"/>
    </x:row>
    <x:row r="43">
      <x:c r="A43" s="76"/>
      <x:c r="B43" s="9" t="s">
        <x:v>26</x:v>
      </x:c>
      <x:c r="C43" s="9"/>
      <x:c r="D43" s="9"/>
    </x:row>
    <x:row r="44">
      <x:c r="A44" s="72"/>
      <x:c r="B44" s="9" t="s">
        <x:v>27</x:v>
      </x:c>
      <x:c r="C44" s="9"/>
      <x:c r="D44" s="9"/>
    </x:row>
    <x:row r="45">
      <x:c r="A45" s="77"/>
      <x:c r="B45" s="9" t="s">
        <x:v>28</x:v>
      </x:c>
      <x:c r="C45" s="9"/>
      <x:c r="D45" s="9"/>
    </x:row>
    <x:row r="46" ht="28.799999237060547">
      <x:c r="A46" s="78"/>
      <x:c r="B46" s="9" t="s">
        <x:v>29</x:v>
      </x:c>
      <x:c r="C46" s="9"/>
      <x:c r="D46" s="9"/>
    </x:row>
    <x:row r="47" ht="28.799999237060547">
      <x:c r="A47" s="79"/>
      <x:c r="B47" s="9" t="s">
        <x:v>30</x:v>
      </x:c>
      <x:c r="C47" s="9"/>
      <x:c r="D47" s="9"/>
    </x:row>
    <x:row r="48" ht="28.799999237060547">
      <x:c r="A48" s="80"/>
      <x:c r="B48" s="9" t="s">
        <x:v>31</x:v>
      </x:c>
      <x:c r="C48" s="9"/>
      <x:c r="D48" s="9"/>
    </x:row>
    <x:row r="49">
      <x:c r="A49" s="81"/>
      <x:c r="B49" s="9" t="s">
        <x:v>32</x:v>
      </x:c>
      <x:c r="C49" s="9"/>
      <x:c r="D49" s="9"/>
    </x:row>
    <x:row r="50">
      <x:c r="B50" s="9"/>
      <x:c r="C50" s="9"/>
      <x:c r="D50" s="9"/>
    </x:row>
    <x:row r="51">
      <x:c r="B51" s="9"/>
      <x:c r="C51" s="9"/>
      <x:c r="D51" s="9"/>
    </x:row>
    <x:row r="52">
      <x:c r="B52" s="9"/>
      <x:c r="C52" s="9"/>
      <x:c r="D52" s="9"/>
    </x:row>
    <x:row r="53">
      <x:c r="B53" s="9"/>
      <x:c r="C53" s="9"/>
      <x:c r="D53" s="9"/>
    </x:row>
    <x:row r="54">
      <x:c r="B54" s="9"/>
      <x:c r="C54" s="9"/>
      <x:c r="D54" s="9"/>
    </x:row>
    <x:row r="55">
      <x:c r="B55" s="9"/>
      <x:c r="C55" s="9"/>
      <x:c r="D55" s="9"/>
    </x:row>
    <x:row r="56">
      <x:c r="B56" s="9"/>
      <x:c r="C56" s="9"/>
      <x:c r="D56" s="9"/>
    </x:row>
    <x:row r="57">
      <x:c r="B57" s="9"/>
      <x:c r="C57" s="9"/>
      <x:c r="D57" s="9"/>
    </x:row>
    <x:row r="58">
      <x:c r="B58" s="9"/>
      <x:c r="C58" s="9"/>
      <x:c r="D58" s="9"/>
    </x:row>
    <x:row r="59">
      <x:c r="B59" s="9"/>
      <x:c r="C59" s="9"/>
      <x:c r="D59" s="9"/>
    </x:row>
    <x:row r="60">
      <x:c r="B60" s="9"/>
      <x:c r="C60" s="9"/>
      <x:c r="D60" s="9"/>
    </x:row>
    <x:row r="61">
      <x:c r="B61" s="9"/>
      <x:c r="C61" s="9"/>
      <x:c r="D61" s="9"/>
    </x:row>
    <x:row r="62">
      <x:c r="B62" s="9"/>
      <x:c r="C62" s="9"/>
      <x:c r="D62" s="9"/>
    </x:row>
    <x:row r="63">
      <x:c r="B63" s="9"/>
      <x:c r="C63" s="9"/>
      <x:c r="D63" s="9"/>
    </x:row>
    <x:row r="64">
      <x:c r="B64" s="9"/>
      <x:c r="C64" s="9"/>
      <x:c r="D64" s="9"/>
    </x:row>
    <x:row r="65">
      <x:c r="B65" s="9"/>
      <x:c r="C65" s="9"/>
      <x:c r="D65" s="9"/>
    </x:row>
    <x:row r="66">
      <x:c r="B66" s="9"/>
      <x:c r="C66" s="9"/>
      <x:c r="D66" s="9"/>
    </x:row>
    <x:row r="67">
      <x:c r="B67" s="9"/>
      <x:c r="C67" s="9"/>
      <x:c r="D67" s="9"/>
    </x:row>
    <x:row r="68">
      <x:c r="B68" s="9"/>
      <x:c r="C68" s="9"/>
      <x:c r="D68" s="9"/>
    </x:row>
    <x:row r="69">
      <x:c r="B69" s="9"/>
      <x:c r="C69" s="9"/>
      <x:c r="D69" s="9"/>
    </x:row>
    <x:row r="70">
      <x:c r="B70" s="9"/>
      <x:c r="C70" s="9"/>
      <x:c r="D70" s="9"/>
    </x:row>
    <x:row r="71">
      <x:c r="B71" s="9"/>
      <x:c r="C71" s="9"/>
      <x:c r="D71" s="9"/>
    </x:row>
    <x:row r="72">
      <x:c r="B72" s="9"/>
      <x:c r="C72" s="9"/>
      <x:c r="D72" s="9"/>
    </x:row>
    <x:row r="73">
      <x:c r="B73" s="9"/>
      <x:c r="C73" s="9"/>
      <x:c r="D73" s="9"/>
    </x:row>
    <x:row r="74">
      <x:c r="B74" s="9"/>
      <x:c r="C74" s="9"/>
      <x:c r="D74" s="9"/>
    </x:row>
    <x:row r="75">
      <x:c r="B75" s="9"/>
      <x:c r="C75" s="9"/>
      <x:c r="D75" s="9"/>
    </x:row>
    <x:row r="76">
      <x:c r="B76" s="9"/>
      <x:c r="C76" s="9"/>
      <x:c r="D76" s="9"/>
    </x:row>
    <x:row r="77">
      <x:c r="B77" s="9"/>
      <x:c r="C77" s="9"/>
      <x:c r="D77" s="9"/>
    </x:row>
    <x:row r="78">
      <x:c r="B78" s="9"/>
      <x:c r="C78" s="9"/>
      <x:c r="D78" s="9"/>
    </x:row>
    <x:row r="79">
      <x:c r="B79" s="9"/>
      <x:c r="C79" s="9"/>
      <x:c r="D79" s="9"/>
    </x:row>
    <x:row r="80">
      <x:c r="B80" s="9"/>
      <x:c r="C80" s="9"/>
      <x:c r="D80" s="9"/>
    </x:row>
    <x:row r="81">
      <x:c r="B81" s="9"/>
      <x:c r="C81" s="9"/>
      <x:c r="D81" s="9"/>
    </x:row>
    <x:row r="82">
      <x:c r="B82" s="9"/>
      <x:c r="C82" s="9"/>
      <x:c r="D82" s="9"/>
    </x:row>
    <x:row r="83">
      <x:c r="B83" s="9"/>
      <x:c r="C83" s="9"/>
      <x:c r="D83" s="9"/>
    </x:row>
    <x:row r="84">
      <x:c r="B84" s="9"/>
      <x:c r="C84" s="9"/>
      <x:c r="D84" s="9"/>
    </x:row>
    <x:row r="85">
      <x:c r="B85" s="9"/>
      <x:c r="C85" s="9"/>
      <x:c r="D85" s="9"/>
    </x:row>
    <x:row r="86">
      <x:c r="B86" s="9"/>
      <x:c r="C86" s="9"/>
      <x:c r="D86" s="9"/>
    </x:row>
    <x:row r="87">
      <x:c r="B87" s="9"/>
      <x:c r="C87" s="9"/>
      <x:c r="D87" s="9"/>
    </x:row>
    <x:row r="88">
      <x:c r="B88" s="9"/>
      <x:c r="C88" s="9"/>
      <x:c r="D88" s="9"/>
    </x:row>
    <x:row r="89">
      <x:c r="B89" s="9"/>
      <x:c r="C89" s="9"/>
      <x:c r="D89" s="9"/>
    </x:row>
    <x:row r="90">
      <x:c r="B90" s="9"/>
      <x:c r="C90" s="9"/>
      <x:c r="D90" s="9"/>
    </x:row>
    <x:row r="91">
      <x:c r="B91" s="9"/>
      <x:c r="C91" s="9"/>
      <x:c r="D91" s="9"/>
    </x:row>
    <x:row r="92">
      <x:c r="B92" s="9"/>
      <x:c r="C92" s="9"/>
      <x:c r="D92" s="9"/>
    </x:row>
    <x:row r="93">
      <x:c r="B93" s="9"/>
      <x:c r="C93" s="9"/>
      <x:c r="D93" s="9"/>
    </x:row>
    <x:row r="94">
      <x:c r="B94" s="9"/>
      <x:c r="C94" s="9"/>
      <x:c r="D94" s="9"/>
    </x:row>
    <x:row r="95">
      <x:c r="B95" s="9"/>
      <x:c r="C95" s="9"/>
      <x:c r="D95" s="9"/>
    </x:row>
    <x:row r="96">
      <x:c r="B96" s="9"/>
      <x:c r="C96" s="9"/>
      <x:c r="D96" s="9"/>
    </x:row>
    <x:row r="97">
      <x:c r="B97" s="9"/>
      <x:c r="C97" s="9"/>
      <x:c r="D97" s="9"/>
    </x:row>
    <x:row r="98">
      <x:c r="B98" s="9"/>
      <x:c r="C98" s="9"/>
      <x:c r="D98" s="9"/>
    </x:row>
    <x:row r="99">
      <x:c r="B99" s="9"/>
      <x:c r="C99" s="9"/>
      <x:c r="D99" s="9"/>
    </x:row>
    <x:row r="100">
      <x:c r="B100" s="9"/>
      <x:c r="C100" s="9"/>
      <x:c r="D100" s="9"/>
    </x:row>
    <x:row r="101">
      <x:c r="B101" s="9"/>
      <x:c r="C101" s="9"/>
      <x:c r="D101" s="9"/>
    </x:row>
    <x:row r="102">
      <x:c r="B102" s="9"/>
      <x:c r="C102" s="9"/>
      <x:c r="D102" s="9"/>
    </x:row>
    <x:row r="103">
      <x:c r="B103" s="9"/>
      <x:c r="C103" s="9"/>
      <x:c r="D103" s="9"/>
    </x:row>
    <x:row r="104">
      <x:c r="B104" s="9"/>
      <x:c r="C104" s="9"/>
      <x:c r="D104" s="9"/>
    </x:row>
    <x:row r="105">
      <x:c r="B105" s="9"/>
      <x:c r="C105" s="9"/>
      <x:c r="D105" s="9"/>
    </x:row>
    <x:row r="106">
      <x:c r="B106" s="9"/>
      <x:c r="C106" s="9"/>
      <x:c r="D106" s="9"/>
    </x:row>
    <x:row r="107">
      <x:c r="B107" s="9"/>
      <x:c r="C107" s="9"/>
      <x:c r="D107" s="9"/>
    </x:row>
    <x:row r="108">
      <x:c r="B108" s="9"/>
      <x:c r="C108" s="9"/>
      <x:c r="D108" s="9"/>
    </x:row>
    <x:row r="109">
      <x:c r="B109" s="9"/>
      <x:c r="C109" s="9"/>
      <x:c r="D109" s="9"/>
    </x:row>
    <x:row r="110">
      <x:c r="B110" s="9"/>
      <x:c r="C110" s="9"/>
      <x:c r="D110" s="9"/>
    </x:row>
    <x:row r="111">
      <x:c r="B111" s="9"/>
      <x:c r="C111" s="9"/>
      <x:c r="D111" s="9"/>
    </x:row>
    <x:row r="112">
      <x:c r="B112" s="9"/>
      <x:c r="C112" s="9"/>
      <x:c r="D112" s="9"/>
    </x:row>
    <x:row r="113">
      <x:c r="B113" s="9"/>
      <x:c r="C113" s="9"/>
      <x:c r="D113" s="9"/>
    </x:row>
    <x:row r="114">
      <x:c r="B114" s="9"/>
      <x:c r="C114" s="9"/>
      <x:c r="D114" s="9"/>
    </x:row>
    <x:row r="115">
      <x:c r="B115" s="9"/>
      <x:c r="C115" s="9"/>
      <x:c r="D115" s="9"/>
    </x:row>
    <x:row r="116">
      <x:c r="B116" s="9"/>
      <x:c r="C116" s="9"/>
      <x:c r="D116" s="9"/>
    </x:row>
    <x:row r="117">
      <x:c r="B117" s="9"/>
      <x:c r="C117" s="9"/>
      <x:c r="D117" s="9"/>
    </x:row>
    <x:row r="118">
      <x:c r="B118" s="9"/>
      <x:c r="C118" s="9"/>
      <x:c r="D118" s="9"/>
    </x:row>
    <x:row r="119">
      <x:c r="B119" s="9"/>
      <x:c r="C119" s="9"/>
      <x:c r="D119" s="9"/>
    </x:row>
    <x:row r="120">
      <x:c r="B120" s="9"/>
      <x:c r="C120" s="9"/>
      <x:c r="D120" s="9"/>
    </x:row>
    <x:row r="121">
      <x:c r="B121" s="9"/>
      <x:c r="C121" s="9"/>
      <x:c r="D121" s="9"/>
    </x:row>
    <x:row r="122">
      <x:c r="B122" s="9"/>
      <x:c r="C122" s="9"/>
      <x:c r="D122" s="9"/>
    </x:row>
    <x:row r="123">
      <x:c r="B123" s="9"/>
      <x:c r="C123" s="9"/>
      <x:c r="D123" s="9"/>
    </x:row>
    <x:row r="124">
      <x:c r="B124" s="9"/>
      <x:c r="C124" s="9"/>
      <x:c r="D124" s="9"/>
    </x:row>
    <x:row r="125">
      <x:c r="B125" s="9"/>
      <x:c r="C125" s="9"/>
      <x:c r="D125" s="9"/>
    </x:row>
    <x:row r="126">
      <x:c r="B126" s="9"/>
      <x:c r="C126" s="9"/>
      <x:c r="D126" s="9"/>
    </x:row>
    <x:row r="127">
      <x:c r="B127" s="9"/>
      <x:c r="C127" s="9"/>
      <x:c r="D127" s="9"/>
    </x:row>
    <x:row r="128">
      <x:c r="B128" s="9"/>
      <x:c r="C128" s="9"/>
      <x:c r="D128" s="9"/>
    </x:row>
    <x:row r="129">
      <x:c r="B129" s="9"/>
      <x:c r="C129" s="9"/>
      <x:c r="D129" s="9"/>
    </x:row>
  </x:sheetData>
  <x:mergeCells>
    <x:mergeCell ref="I2:R2"/>
    <x:mergeCell ref="I40:R40"/>
    <x:mergeCell ref="A1:R1"/>
    <x:mergeCell ref="A2:A3"/>
    <x:mergeCell ref="B2:B3"/>
    <x:mergeCell ref="C2:C3"/>
    <x:mergeCell ref="D2:D3"/>
    <x:mergeCell ref="E2:E3"/>
    <x:mergeCell ref="F2:F3"/>
    <x:mergeCell ref="G2:G3"/>
    <x:mergeCell ref="H2:H3"/>
  </x:mergeCells>
  <x:pageMargins left="0.7" right="0.7" top="0.75" bottom="0.75" header="0.3" footer="0.3"/>
</x:worksheet>
</file>

<file path=xl/worksheets/sheet6.xml><?xml version="1.0" encoding="utf-8"?>
<x:worksheet xmlns:x="http://schemas.openxmlformats.org/spreadsheetml/2006/main">
  <x:sheetFormatPr baseColWidth="10" defaultColWidth="11.44140625" defaultRowHeight="14.399999618530273"/>
  <x:cols>
    <x:col min="2" max="2" width="36.33203125" customWidth="1"/>
    <x:col min="4" max="4" width="15.5546875" customWidth="1"/>
    <x:col min="5" max="5" width="14.44140625" customWidth="1"/>
    <x:col min="6" max="6" width="13.5546875" customWidth="1"/>
    <x:col min="7" max="8" width="15.5546875" customWidth="1"/>
    <x:col min="9" max="9" width="16" customWidth="1"/>
  </x:cols>
  <x:sheetData>
    <x:row r="2" ht="43.20000076293945">
      <x:c r="B2" s="22" t="s">
        <x:v>1250</x:v>
      </x:c>
      <x:c r="C2" s="22" t="s">
        <x:v>1251</x:v>
      </x:c>
      <x:c r="D2" s="22" t="s">
        <x:v>1252</x:v>
      </x:c>
      <x:c r="E2" s="22" t="s">
        <x:v>1253</x:v>
      </x:c>
      <x:c r="F2" s="22" t="s">
        <x:v>1254</x:v>
      </x:c>
      <x:c r="G2" s="22" t="s">
        <x:v>1255</x:v>
      </x:c>
      <x:c r="H2" s="22" t="s">
        <x:v>1256</x:v>
      </x:c>
      <x:c r="I2" s="22" t="s">
        <x:v>1257</x:v>
      </x:c>
      <x:c r="J2" s="22" t="s">
        <x:v>1258</x:v>
      </x:c>
    </x:row>
    <x:row r="3">
      <x:c r="B3" s="23" t="s">
        <x:v>23</x:v>
      </x:c>
      <x:c r="C3" s="24">
        <x:v>1</x:v>
      </x:c>
      <x:c r="D3" s="24">
        <x:v>3</x:v>
      </x:c>
      <x:c r="E3" s="24">
        <x:v>1</x:v>
      </x:c>
      <x:c r="F3" s="24" t="n">
        <x:f t="shared" ref="F3:F12" si="0">SUM(C3:E3)</x:f>
        <x:v>5</x:v>
      </x:c>
      <x:c r="G3" s="24">
        <x:v>1</x:v>
      </x:c>
      <x:c r="H3" s="24">
        <x:v>2</x:v>
      </x:c>
      <x:c r="I3" s="24" t="n">
        <x:f>SUM(G3:H3)</x:f>
        <x:v>3</x:v>
      </x:c>
      <x:c r="J3" s="24" t="n">
        <x:f>SUM(F3:H3)</x:f>
        <x:v>8</x:v>
      </x:c>
    </x:row>
    <x:row r="4">
      <x:c r="B4" s="23" t="s">
        <x:v>24</x:v>
      </x:c>
      <x:c r="C4" s="24">
        <x:v>9</x:v>
      </x:c>
      <x:c r="D4" s="24">
        <x:v>16</x:v>
      </x:c>
      <x:c r="E4" s="24">
        <x:v>7</x:v>
      </x:c>
      <x:c r="F4" s="24" t="n">
        <x:f>SUM(C4:E4)</x:f>
        <x:v>32</x:v>
      </x:c>
      <x:c r="G4" s="24">
        <x:v>17</x:v>
      </x:c>
      <x:c r="H4" s="24">
        <x:v>13</x:v>
      </x:c>
      <x:c r="I4" s="24" t="n">
        <x:f t="shared" ref="I4:I12" si="1">SUM(G4:H4)</x:f>
        <x:v>30</x:v>
      </x:c>
      <x:c r="J4" s="24" t="n">
        <x:f t="shared" ref="J4:J12" si="2">SUM(F4:H4)</x:f>
        <x:v>62</x:v>
      </x:c>
    </x:row>
    <x:row r="5">
      <x:c r="B5" s="23" t="s">
        <x:v>25</x:v>
      </x:c>
      <x:c r="C5" s="24">
        <x:v>1</x:v>
      </x:c>
      <x:c r="D5" s="24">
        <x:v>3</x:v>
      </x:c>
      <x:c r="E5" s="24">
        <x:v>1</x:v>
      </x:c>
      <x:c r="F5" s="24">
        <x:f t="shared" si="0"/>
        <x:v>5</x:v>
      </x:c>
      <x:c r="G5" s="24">
        <x:v>7</x:v>
      </x:c>
      <x:c r="H5" s="24">
        <x:v>2</x:v>
      </x:c>
      <x:c r="I5" s="24">
        <x:f t="shared" si="1"/>
        <x:v>9</x:v>
      </x:c>
      <x:c r="J5" s="24">
        <x:f t="shared" si="2"/>
        <x:v>14</x:v>
      </x:c>
    </x:row>
    <x:row r="6">
      <x:c r="B6" s="23" t="s">
        <x:v>26</x:v>
      </x:c>
      <x:c r="C6" s="24">
        <x:v>6</x:v>
      </x:c>
      <x:c r="D6" s="24">
        <x:v>0</x:v>
      </x:c>
      <x:c r="E6" s="24">
        <x:v>2</x:v>
      </x:c>
      <x:c r="F6" s="24">
        <x:f t="shared" si="0"/>
        <x:v>8</x:v>
      </x:c>
      <x:c r="G6" s="24">
        <x:v>4</x:v>
      </x:c>
      <x:c r="H6" s="24">
        <x:v>3</x:v>
      </x:c>
      <x:c r="I6" s="24">
        <x:f t="shared" si="1"/>
        <x:v>7</x:v>
      </x:c>
      <x:c r="J6" s="24">
        <x:f t="shared" si="2"/>
        <x:v>15</x:v>
      </x:c>
    </x:row>
    <x:row r="7">
      <x:c r="B7" s="54" t="s">
        <x:v>27</x:v>
      </x:c>
      <x:c r="C7" s="24">
        <x:v>0</x:v>
      </x:c>
      <x:c r="D7" s="24">
        <x:v>0</x:v>
      </x:c>
      <x:c r="E7" s="24">
        <x:v>0</x:v>
      </x:c>
      <x:c r="F7" s="24">
        <x:f t="shared" si="0"/>
        <x:v>0</x:v>
      </x:c>
      <x:c r="G7" s="24">
        <x:v>1</x:v>
      </x:c>
      <x:c r="H7" s="24">
        <x:v>4</x:v>
      </x:c>
      <x:c r="I7" s="24">
        <x:f t="shared" si="1"/>
        <x:v>5</x:v>
      </x:c>
      <x:c r="J7" s="24">
        <x:f t="shared" si="2"/>
        <x:v>5</x:v>
      </x:c>
    </x:row>
    <x:row r="8">
      <x:c r="B8" s="54" t="s">
        <x:v>28</x:v>
      </x:c>
      <x:c r="C8" s="24">
        <x:v>7</x:v>
      </x:c>
      <x:c r="D8" s="24">
        <x:v>11</x:v>
      </x:c>
      <x:c r="E8" s="24">
        <x:v>1</x:v>
      </x:c>
      <x:c r="F8" s="24">
        <x:f t="shared" si="0"/>
        <x:v>19</x:v>
      </x:c>
      <x:c r="G8" s="24">
        <x:v>2</x:v>
      </x:c>
      <x:c r="H8" s="24">
        <x:v>0</x:v>
      </x:c>
      <x:c r="I8" s="24">
        <x:f t="shared" si="1"/>
        <x:v>2</x:v>
      </x:c>
      <x:c r="J8" s="24">
        <x:f t="shared" si="2"/>
        <x:v>21</x:v>
      </x:c>
    </x:row>
    <x:row r="9">
      <x:c r="B9" s="54" t="s">
        <x:v>29</x:v>
      </x:c>
      <x:c r="C9" s="24">
        <x:v>0</x:v>
      </x:c>
      <x:c r="D9" s="24">
        <x:v>0</x:v>
      </x:c>
      <x:c r="E9" s="24">
        <x:v>0</x:v>
      </x:c>
      <x:c r="F9" s="24">
        <x:f t="shared" si="0"/>
        <x:v>0</x:v>
      </x:c>
      <x:c r="G9" s="24">
        <x:v>0</x:v>
      </x:c>
      <x:c r="H9" s="24">
        <x:v>4</x:v>
      </x:c>
      <x:c r="I9" s="24">
        <x:f t="shared" si="1"/>
        <x:v>4</x:v>
      </x:c>
      <x:c r="J9" s="24">
        <x:f t="shared" si="2"/>
        <x:v>4</x:v>
      </x:c>
    </x:row>
    <x:row r="10">
      <x:c r="B10" s="54" t="s">
        <x:v>30</x:v>
      </x:c>
      <x:c r="C10" s="24">
        <x:v>1</x:v>
      </x:c>
      <x:c r="D10" s="24">
        <x:v>2</x:v>
      </x:c>
      <x:c r="E10" s="24">
        <x:v>0</x:v>
      </x:c>
      <x:c r="F10" s="24">
        <x:f t="shared" si="0"/>
        <x:v>3</x:v>
      </x:c>
      <x:c r="G10" s="24">
        <x:v>3</x:v>
      </x:c>
      <x:c r="H10" s="24">
        <x:v>3</x:v>
      </x:c>
      <x:c r="I10" s="24">
        <x:f t="shared" si="1"/>
        <x:v>6</x:v>
      </x:c>
      <x:c r="J10" s="24">
        <x:f t="shared" si="2"/>
        <x:v>9</x:v>
      </x:c>
    </x:row>
    <x:row r="11">
      <x:c r="B11" s="54" t="s">
        <x:v>31</x:v>
      </x:c>
      <x:c r="C11" s="24">
        <x:v>0</x:v>
      </x:c>
      <x:c r="D11" s="24">
        <x:v>0</x:v>
      </x:c>
      <x:c r="E11" s="24">
        <x:v>0</x:v>
      </x:c>
      <x:c r="F11" s="24">
        <x:f t="shared" si="0"/>
        <x:v>0</x:v>
      </x:c>
      <x:c r="G11" s="24">
        <x:v>0</x:v>
      </x:c>
      <x:c r="H11" s="24">
        <x:v>2</x:v>
      </x:c>
      <x:c r="I11" s="24">
        <x:f t="shared" si="1"/>
        <x:v>2</x:v>
      </x:c>
      <x:c r="J11" s="24">
        <x:f t="shared" si="2"/>
        <x:v>2</x:v>
      </x:c>
    </x:row>
    <x:row r="12">
      <x:c r="B12" s="54" t="s">
        <x:v>32</x:v>
      </x:c>
      <x:c r="C12" s="24">
        <x:v>0</x:v>
      </x:c>
      <x:c r="D12" s="24">
        <x:v>0</x:v>
      </x:c>
      <x:c r="E12" s="24">
        <x:v>0</x:v>
      </x:c>
      <x:c r="F12" s="24">
        <x:f t="shared" si="0"/>
        <x:v>0</x:v>
      </x:c>
      <x:c r="G12" s="24">
        <x:v>0</x:v>
      </x:c>
      <x:c r="H12" s="24">
        <x:v>0</x:v>
      </x:c>
      <x:c r="I12" s="24">
        <x:f t="shared" si="1"/>
        <x:v>0</x:v>
      </x:c>
      <x:c r="J12" s="24">
        <x:f t="shared" si="2"/>
        <x:v>0</x:v>
      </x:c>
    </x:row>
    <x:row r="13">
      <x:c r="B13" s="25" t="s">
        <x:v>1257</x:v>
      </x:c>
      <x:c r="C13" s="25" t="n">
        <x:f t="shared" ref="C13:J13" si="3">SUM(C3:C12)</x:f>
        <x:v>25</x:v>
      </x:c>
      <x:c r="D13" s="25">
        <x:f t="shared" si="3"/>
        <x:v>35</x:v>
      </x:c>
      <x:c r="E13" s="25">
        <x:f t="shared" si="3"/>
        <x:v>12</x:v>
      </x:c>
      <x:c r="F13" s="25">
        <x:f t="shared" si="3"/>
        <x:v>72</x:v>
      </x:c>
      <x:c r="G13" s="25">
        <x:f t="shared" si="3"/>
        <x:v>35</x:v>
      </x:c>
      <x:c r="H13" s="25">
        <x:f t="shared" si="3"/>
        <x:v>33</x:v>
      </x:c>
      <x:c r="I13" s="25">
        <x:f t="shared" si="3"/>
        <x:v>68</x:v>
      </x:c>
      <x:c r="J13" s="25">
        <x:f t="shared" si="3"/>
        <x:v>140</x:v>
      </x:c>
    </x:row>
    <x:row r="17" ht="43.20000076293945">
      <x:c r="B17" s="22" t="s">
        <x:v>1250</x:v>
      </x:c>
      <x:c r="C17" s="22" t="s">
        <x:v>1259</x:v>
      </x:c>
      <x:c r="D17" s="22" t="s">
        <x:v>1260</x:v>
      </x:c>
      <x:c r="E17" s="22" t="s">
        <x:v>1261</x:v>
      </x:c>
      <x:c r="F17" s="22" t="s">
        <x:v>1262</x:v>
      </x:c>
      <x:c r="G17" s="22" t="s">
        <x:v>1263</x:v>
      </x:c>
      <x:c r="H17" s="22" t="s">
        <x:v>1264</x:v>
      </x:c>
      <x:c r="I17" s="22" t="s">
        <x:v>1265</x:v>
      </x:c>
      <x:c r="J17" s="22" t="s">
        <x:v>1266</x:v>
      </x:c>
    </x:row>
    <x:row r="18">
      <x:c r="B18" s="23" t="s">
        <x:v>23</x:v>
      </x:c>
      <x:c r="C18" s="24" t="n">
        <x:f>100*(C3/$C$13)</x:f>
        <x:v>4</x:v>
      </x:c>
      <x:c r="D18" s="56" t="n">
        <x:f>100*(D3/$D$13)</x:f>
        <x:v>8.571428571428571</x:v>
      </x:c>
      <x:c r="E18" s="56" t="n">
        <x:f>100*(E3/$E$13)</x:f>
        <x:v>8.333333333333332</x:v>
      </x:c>
      <x:c r="F18" s="56" t="n">
        <x:f>100*(F3/$F$13)</x:f>
        <x:v>6.944444444444445</x:v>
      </x:c>
      <x:c r="G18" s="56" t="n">
        <x:f>100*(G3/$G$13)</x:f>
        <x:v>2.857142857142857</x:v>
      </x:c>
      <x:c r="H18" s="56" t="n">
        <x:f>100*(H3/$H$13)</x:f>
        <x:v>6.0606060606060606</x:v>
      </x:c>
      <x:c r="I18" s="56" t="n">
        <x:f>100*(I3/$I$13)</x:f>
        <x:v>4.411764705882353</x:v>
      </x:c>
      <x:c r="J18" s="56" t="n">
        <x:f>100*(J3/$J$13)</x:f>
        <x:v>5.714285714285714</x:v>
      </x:c>
    </x:row>
    <x:row r="19">
      <x:c r="B19" s="23" t="s">
        <x:v>24</x:v>
      </x:c>
      <x:c r="C19" s="24" t="n">
        <x:f t="shared" ref="C19:C27" si="4">100*(C4/$C$13)</x:f>
        <x:v>36</x:v>
      </x:c>
      <x:c r="D19" s="56" t="n">
        <x:f t="shared" ref="D19:D27" si="5">100*(D4/$D$13)</x:f>
        <x:v>45.714285714285715</x:v>
      </x:c>
      <x:c r="E19" s="56" t="n">
        <x:f t="shared" ref="E19:E27" si="6">100*(E4/$E$13)</x:f>
        <x:v>58.333333333333336</x:v>
      </x:c>
      <x:c r="F19" s="56" t="n">
        <x:f t="shared" ref="F19:F27" si="7">100*(F4/$F$13)</x:f>
        <x:v>44.44444444444444</x:v>
      </x:c>
      <x:c r="G19" s="56" t="n">
        <x:f t="shared" ref="G19:G27" si="8">100*(G4/$G$13)</x:f>
        <x:v>48.57142857142857</x:v>
      </x:c>
      <x:c r="H19" s="56" t="n">
        <x:f t="shared" ref="H19:H27" si="9">100*(H4/$H$13)</x:f>
        <x:v>39.39393939393939</x:v>
      </x:c>
      <x:c r="I19" s="56" t="n">
        <x:f t="shared" ref="I19:I27" si="10">100*(I4/$I$13)</x:f>
        <x:v>44.11764705882353</x:v>
      </x:c>
      <x:c r="J19" s="56" t="n">
        <x:f t="shared" ref="J19:J27" si="11">100*(J4/$J$13)</x:f>
        <x:v>44.285714285714285</x:v>
      </x:c>
    </x:row>
    <x:row r="20">
      <x:c r="B20" s="23" t="s">
        <x:v>25</x:v>
      </x:c>
      <x:c r="C20" s="24">
        <x:f t="shared" si="4"/>
        <x:v>4</x:v>
      </x:c>
      <x:c r="D20" s="56">
        <x:f t="shared" si="5"/>
        <x:v>8.5714285714285712</x:v>
      </x:c>
      <x:c r="E20" s="56">
        <x:f t="shared" si="6"/>
        <x:v>8.3333333333333321</x:v>
      </x:c>
      <x:c r="F20" s="56">
        <x:f t="shared" si="7"/>
        <x:v>6.9444444444444446</x:v>
      </x:c>
      <x:c r="G20" s="56">
        <x:f t="shared" si="8"/>
        <x:v>20</x:v>
      </x:c>
      <x:c r="H20" s="56">
        <x:f t="shared" si="9"/>
        <x:v>6.0606060606060606</x:v>
      </x:c>
      <x:c r="I20" s="56">
        <x:f t="shared" si="10"/>
        <x:v>13.23529411764706</x:v>
      </x:c>
      <x:c r="J20" s="56">
        <x:f t="shared" si="11"/>
        <x:v>10</x:v>
      </x:c>
    </x:row>
    <x:row r="21">
      <x:c r="B21" s="23" t="s">
        <x:v>26</x:v>
      </x:c>
      <x:c r="C21" s="24">
        <x:f t="shared" si="4"/>
        <x:v>24</x:v>
      </x:c>
      <x:c r="D21" s="56">
        <x:f t="shared" si="5"/>
        <x:v>0</x:v>
      </x:c>
      <x:c r="E21" s="56">
        <x:f t="shared" si="6"/>
        <x:v>16.666666666666664</x:v>
      </x:c>
      <x:c r="F21" s="56">
        <x:f t="shared" si="7"/>
        <x:v>11.111111111111111</x:v>
      </x:c>
      <x:c r="G21" s="56">
        <x:f t="shared" si="8"/>
        <x:v>11.428571428571429</x:v>
      </x:c>
      <x:c r="H21" s="56">
        <x:f t="shared" si="9"/>
        <x:v>9.0909090909090917</x:v>
      </x:c>
      <x:c r="I21" s="56">
        <x:f t="shared" si="10"/>
        <x:v>10.294117647058822</x:v>
      </x:c>
      <x:c r="J21" s="56">
        <x:f t="shared" si="11"/>
        <x:v>10.714285714285714</x:v>
      </x:c>
    </x:row>
    <x:row r="22">
      <x:c r="B22" s="54" t="s">
        <x:v>27</x:v>
      </x:c>
      <x:c r="C22" s="24">
        <x:f t="shared" si="4"/>
        <x:v>0</x:v>
      </x:c>
      <x:c r="D22" s="56">
        <x:f t="shared" si="5"/>
        <x:v>0</x:v>
      </x:c>
      <x:c r="E22" s="56">
        <x:f t="shared" si="6"/>
        <x:v>0</x:v>
      </x:c>
      <x:c r="F22" s="56">
        <x:f t="shared" si="7"/>
        <x:v>0</x:v>
      </x:c>
      <x:c r="G22" s="56">
        <x:f t="shared" si="8"/>
        <x:v>2.8571428571428572</x:v>
      </x:c>
      <x:c r="H22" s="56">
        <x:f t="shared" si="9"/>
        <x:v>12.121212121212121</x:v>
      </x:c>
      <x:c r="I22" s="56">
        <x:f t="shared" si="10"/>
        <x:v>7.3529411764705888</x:v>
      </x:c>
      <x:c r="J22" s="56">
        <x:f t="shared" si="11"/>
        <x:v>3.5714285714285712</x:v>
      </x:c>
    </x:row>
    <x:row r="23">
      <x:c r="B23" s="54" t="s">
        <x:v>28</x:v>
      </x:c>
      <x:c r="C23" s="24">
        <x:f t="shared" si="4"/>
        <x:v>28.000000000000004</x:v>
      </x:c>
      <x:c r="D23" s="56">
        <x:f t="shared" si="5"/>
        <x:v>31.428571428571427</x:v>
      </x:c>
      <x:c r="E23" s="56">
        <x:f t="shared" si="6"/>
        <x:v>8.3333333333333321</x:v>
      </x:c>
      <x:c r="F23" s="56">
        <x:f t="shared" si="7"/>
        <x:v>26.388888888888889</x:v>
      </x:c>
      <x:c r="G23" s="56">
        <x:f t="shared" si="8"/>
        <x:v>5.7142857142857144</x:v>
      </x:c>
      <x:c r="H23" s="56">
        <x:f t="shared" si="9"/>
        <x:v>0</x:v>
      </x:c>
      <x:c r="I23" s="56">
        <x:f t="shared" si="10"/>
        <x:v>2.9411764705882351</x:v>
      </x:c>
      <x:c r="J23" s="56">
        <x:f t="shared" si="11"/>
        <x:v>15</x:v>
      </x:c>
    </x:row>
    <x:row r="24">
      <x:c r="B24" s="54" t="s">
        <x:v>29</x:v>
      </x:c>
      <x:c r="C24" s="24">
        <x:f t="shared" si="4"/>
        <x:v>0</x:v>
      </x:c>
      <x:c r="D24" s="56">
        <x:f t="shared" si="5"/>
        <x:v>0</x:v>
      </x:c>
      <x:c r="E24" s="56">
        <x:f t="shared" si="6"/>
        <x:v>0</x:v>
      </x:c>
      <x:c r="F24" s="56">
        <x:f t="shared" si="7"/>
        <x:v>0</x:v>
      </x:c>
      <x:c r="G24" s="56">
        <x:f t="shared" si="8"/>
        <x:v>0</x:v>
      </x:c>
      <x:c r="H24" s="56">
        <x:f t="shared" si="9"/>
        <x:v>12.121212121212121</x:v>
      </x:c>
      <x:c r="I24" s="56">
        <x:f t="shared" si="10"/>
        <x:v>5.8823529411764701</x:v>
      </x:c>
      <x:c r="J24" s="56">
        <x:f t="shared" si="11"/>
        <x:v>2.8571428571428572</x:v>
      </x:c>
    </x:row>
    <x:row r="25">
      <x:c r="B25" s="54" t="s">
        <x:v>30</x:v>
      </x:c>
      <x:c r="C25" s="24">
        <x:f t="shared" si="4"/>
        <x:v>4</x:v>
      </x:c>
      <x:c r="D25" s="56">
        <x:f t="shared" si="5"/>
        <x:v>5.7142857142857144</x:v>
      </x:c>
      <x:c r="E25" s="56">
        <x:f t="shared" si="6"/>
        <x:v>0</x:v>
      </x:c>
      <x:c r="F25" s="56">
        <x:f t="shared" si="7"/>
        <x:v>4.1666666666666661</x:v>
      </x:c>
      <x:c r="G25" s="56">
        <x:f t="shared" si="8"/>
        <x:v>8.5714285714285712</x:v>
      </x:c>
      <x:c r="H25" s="56">
        <x:f t="shared" si="9"/>
        <x:v>9.0909090909090917</x:v>
      </x:c>
      <x:c r="I25" s="56">
        <x:f t="shared" si="10"/>
        <x:v>8.8235294117647065</x:v>
      </x:c>
      <x:c r="J25" s="56">
        <x:f t="shared" si="11"/>
        <x:v>6.4285714285714279</x:v>
      </x:c>
    </x:row>
    <x:row r="26">
      <x:c r="B26" s="54" t="s">
        <x:v>31</x:v>
      </x:c>
      <x:c r="C26" s="24">
        <x:f t="shared" si="4"/>
        <x:v>0</x:v>
      </x:c>
      <x:c r="D26" s="56">
        <x:f t="shared" si="5"/>
        <x:v>0</x:v>
      </x:c>
      <x:c r="E26" s="56">
        <x:f t="shared" si="6"/>
        <x:v>0</x:v>
      </x:c>
      <x:c r="F26" s="56">
        <x:f t="shared" si="7"/>
        <x:v>0</x:v>
      </x:c>
      <x:c r="G26" s="56">
        <x:f t="shared" si="8"/>
        <x:v>0</x:v>
      </x:c>
      <x:c r="H26" s="56">
        <x:f t="shared" si="9"/>
        <x:v>6.0606060606060606</x:v>
      </x:c>
      <x:c r="I26" s="56">
        <x:f t="shared" si="10"/>
        <x:v>2.9411764705882351</x:v>
      </x:c>
      <x:c r="J26" s="56">
        <x:f t="shared" si="11"/>
        <x:v>1.4285714285714286</x:v>
      </x:c>
    </x:row>
    <x:row r="27">
      <x:c r="B27" s="54" t="s">
        <x:v>32</x:v>
      </x:c>
      <x:c r="C27" s="24">
        <x:f t="shared" si="4"/>
        <x:v>0</x:v>
      </x:c>
      <x:c r="D27" s="56">
        <x:f t="shared" si="5"/>
        <x:v>0</x:v>
      </x:c>
      <x:c r="E27" s="56">
        <x:f t="shared" si="6"/>
        <x:v>0</x:v>
      </x:c>
      <x:c r="F27" s="56">
        <x:f t="shared" si="7"/>
        <x:v>0</x:v>
      </x:c>
      <x:c r="G27" s="56">
        <x:f t="shared" si="8"/>
        <x:v>0</x:v>
      </x:c>
      <x:c r="H27" s="56">
        <x:f t="shared" si="9"/>
        <x:v>0</x:v>
      </x:c>
      <x:c r="I27" s="56">
        <x:f t="shared" si="10"/>
        <x:v>0</x:v>
      </x:c>
      <x:c r="J27" s="56">
        <x:f t="shared" si="11"/>
        <x:v>0</x:v>
      </x:c>
    </x:row>
    <x:row r="28">
      <x:c r="B28" s="25" t="s">
        <x:v>1257</x:v>
      </x:c>
      <x:c r="C28" s="25" t="n">
        <x:f t="shared" ref="C28:G28" si="12">SUM(C18:C27)</x:f>
        <x:v>100</x:v>
      </x:c>
      <x:c r="D28" s="25">
        <x:f t="shared" si="12"/>
        <x:v>99.999999999999986</x:v>
      </x:c>
      <x:c r="E28" s="25">
        <x:f t="shared" si="12"/>
        <x:v>99.999999999999986</x:v>
      </x:c>
      <x:c r="F28" s="25">
        <x:f t="shared" si="12"/>
        <x:v>100</x:v>
      </x:c>
      <x:c r="G28" s="25">
        <x:f t="shared" si="12"/>
        <x:v>99.999999999999986</x:v>
      </x:c>
      <x:c r="H28" s="25" t="n">
        <x:f t="shared" ref="H28:I28" si="13">SUM(H18:H27)</x:f>
        <x:v>100.00000000000001</x:v>
      </x:c>
      <x:c r="I28" s="25">
        <x:f t="shared" si="13"/>
        <x:v>100</x:v>
      </x:c>
      <x:c r="J28" s="25" t="n">
        <x:f t="shared" ref="J28" si="14">SUM(J18:J27)</x:f>
        <x:v>100</x:v>
      </x:c>
    </x:row>
  </x:sheetData>
  <x:pageMargins left="0.7" right="0.7" top="0.75" bottom="0.75" header="0.3" footer="0.3"/>
  <x:drawing xmlns:r="http://schemas.openxmlformats.org/officeDocument/2006/relationships" r:id="R657b35cd54ed410e"/>
</x:worksheet>
</file>

<file path=xl/worksheets/sheet7.xml><?xml version="1.0" encoding="utf-8"?>
<x:worksheet xmlns:x="http://schemas.openxmlformats.org/spreadsheetml/2006/main">
  <x:sheetFormatPr baseColWidth="10" defaultColWidth="11.44140625" defaultRowHeight="14.399999618530273"/>
  <x:cols>
    <x:col min="2" max="2" width="23" customWidth="1"/>
    <x:col min="4" max="4" width="15.5546875" customWidth="1"/>
    <x:col min="5" max="5" width="13.33203125" style="55" customWidth="1"/>
    <x:col min="6" max="6" width="16.33203125" customWidth="1"/>
    <x:col min="7" max="7" width="13.44140625" customWidth="1"/>
    <x:col min="8" max="8" width="15" customWidth="1"/>
    <x:col min="9" max="9" width="14.44140625" customWidth="1"/>
  </x:cols>
  <x:sheetData>
    <x:row r="3" ht="43.20000076293945">
      <x:c r="B3" s="22" t="s">
        <x:v>1267</x:v>
      </x:c>
      <x:c r="C3" s="22" t="s">
        <x:v>1268</x:v>
      </x:c>
      <x:c r="D3" s="22" t="s">
        <x:v>1269</x:v>
      </x:c>
      <x:c r="E3" s="22" t="s">
        <x:v>1270</x:v>
      </x:c>
      <x:c r="F3" s="22" t="s">
        <x:v>1271</x:v>
      </x:c>
      <x:c r="G3" s="22" t="s">
        <x:v>1259</x:v>
      </x:c>
      <x:c r="H3" s="22" t="s">
        <x:v>1260</x:v>
      </x:c>
      <x:c r="I3" s="22" t="s">
        <x:v>1261</x:v>
      </x:c>
      <x:c r="J3" s="22" t="s">
        <x:v>1272</x:v>
      </x:c>
    </x:row>
    <x:row r="4">
      <x:c r="B4" s="23" t="s">
        <x:v>114</x:v>
      </x:c>
      <x:c r="C4" s="24">
        <x:v>3</x:v>
      </x:c>
      <x:c r="D4" s="24">
        <x:v>3</x:v>
      </x:c>
      <x:c r="E4" s="24">
        <x:v>0</x:v>
      </x:c>
      <x:c r="F4" s="24" t="n">
        <x:f>SUM(C4:E4)</x:f>
        <x:v>6</x:v>
      </x:c>
      <x:c r="G4" s="56" t="n">
        <x:f>100*(C4/$C$10)</x:f>
        <x:v>12</x:v>
      </x:c>
      <x:c r="H4" s="56" t="n">
        <x:f>100*(D4/$D$10)</x:f>
        <x:v>18.75</x:v>
      </x:c>
      <x:c r="I4" s="56" t="n">
        <x:f>100*(E4/$E$10)</x:f>
        <x:v>0</x:v>
      </x:c>
      <x:c r="J4" s="56" t="n">
        <x:f t="shared" ref="J4:J9" si="0">100*(F4/$F$10)</x:f>
        <x:v>11.76470588235294</x:v>
      </x:c>
    </x:row>
    <x:row r="5">
      <x:c r="B5" s="23" t="s">
        <x:v>66</x:v>
      </x:c>
      <x:c r="C5" s="24">
        <x:v>14</x:v>
      </x:c>
      <x:c r="D5" s="24">
        <x:v>11</x:v>
      </x:c>
      <x:c r="E5" s="24">
        <x:v>9</x:v>
      </x:c>
      <x:c r="F5" s="24" t="n">
        <x:f t="shared" ref="F5:F9" si="1">SUM(C5:E5)</x:f>
        <x:v>34</x:v>
      </x:c>
      <x:c r="G5" s="56" t="n">
        <x:f t="shared" ref="G5:G9" si="2">100*(C5/$C$10)</x:f>
        <x:v>56.00000000000001</x:v>
      </x:c>
      <x:c r="H5" s="56" t="n">
        <x:f t="shared" ref="H5:H9" si="3">100*(D5/$D$10)</x:f>
        <x:v>68.75</x:v>
      </x:c>
      <x:c r="I5" s="56" t="n">
        <x:f t="shared" ref="I5:I9" si="4">100*(E5/$E$10)</x:f>
        <x:v>90</x:v>
      </x:c>
      <x:c r="J5" s="56">
        <x:f t="shared" si="0"/>
        <x:v>66.666666666666657</x:v>
      </x:c>
    </x:row>
    <x:row r="6">
      <x:c r="B6" s="23" t="s">
        <x:v>397</x:v>
      </x:c>
      <x:c r="C6" s="24">
        <x:v>5</x:v>
      </x:c>
      <x:c r="D6" s="24">
        <x:v>2</x:v>
      </x:c>
      <x:c r="E6" s="24">
        <x:v>0</x:v>
      </x:c>
      <x:c r="F6" s="24">
        <x:f t="shared" si="1"/>
        <x:v>7</x:v>
      </x:c>
      <x:c r="G6" s="56">
        <x:f t="shared" si="2"/>
        <x:v>20</x:v>
      </x:c>
      <x:c r="H6" s="56">
        <x:f t="shared" si="3"/>
        <x:v>12.5</x:v>
      </x:c>
      <x:c r="I6" s="56">
        <x:f t="shared" si="4"/>
        <x:v>0</x:v>
      </x:c>
      <x:c r="J6" s="56">
        <x:f t="shared" si="0"/>
        <x:v>13.725490196078432</x:v>
      </x:c>
    </x:row>
    <x:row r="7">
      <x:c r="B7" s="54" t="s">
        <x:v>1273</x:v>
      </x:c>
      <x:c r="C7" s="24">
        <x:v>1</x:v>
      </x:c>
      <x:c r="D7" s="24">
        <x:v>0</x:v>
      </x:c>
      <x:c r="E7" s="24">
        <x:v>0</x:v>
      </x:c>
      <x:c r="F7" s="24">
        <x:f t="shared" si="1"/>
        <x:v>1</x:v>
      </x:c>
      <x:c r="G7" s="56">
        <x:f t="shared" si="2"/>
        <x:v>4</x:v>
      </x:c>
      <x:c r="H7" s="56">
        <x:f t="shared" si="3"/>
        <x:v>0</x:v>
      </x:c>
      <x:c r="I7" s="56">
        <x:f t="shared" si="4"/>
        <x:v>0</x:v>
      </x:c>
      <x:c r="J7" s="56">
        <x:f t="shared" si="0"/>
        <x:v>1.9607843137254901</x:v>
      </x:c>
    </x:row>
    <x:row r="8">
      <x:c r="B8" s="54" t="s">
        <x:v>607</x:v>
      </x:c>
      <x:c r="C8" s="24">
        <x:v>1</x:v>
      </x:c>
      <x:c r="D8" s="24">
        <x:v>0</x:v>
      </x:c>
      <x:c r="E8" s="24">
        <x:v>1</x:v>
      </x:c>
      <x:c r="F8" s="24">
        <x:f t="shared" si="1"/>
        <x:v>2</x:v>
      </x:c>
      <x:c r="G8" s="56">
        <x:f t="shared" si="2"/>
        <x:v>4</x:v>
      </x:c>
      <x:c r="H8" s="56">
        <x:f t="shared" si="3"/>
        <x:v>0</x:v>
      </x:c>
      <x:c r="I8" s="56">
        <x:f t="shared" si="4"/>
        <x:v>10</x:v>
      </x:c>
      <x:c r="J8" s="56">
        <x:f t="shared" si="0"/>
        <x:v>3.9215686274509802</x:v>
      </x:c>
    </x:row>
    <x:row r="9">
      <x:c r="B9" s="54" t="s">
        <x:v>1274</x:v>
      </x:c>
      <x:c r="C9" s="24">
        <x:v>1</x:v>
      </x:c>
      <x:c r="D9" s="24">
        <x:v>0</x:v>
      </x:c>
      <x:c r="E9" s="24">
        <x:v>0</x:v>
      </x:c>
      <x:c r="F9" s="24">
        <x:f t="shared" si="1"/>
        <x:v>1</x:v>
      </x:c>
      <x:c r="G9" s="56">
        <x:f t="shared" si="2"/>
        <x:v>4</x:v>
      </x:c>
      <x:c r="H9" s="56">
        <x:f t="shared" si="3"/>
        <x:v>0</x:v>
      </x:c>
      <x:c r="I9" s="56">
        <x:f t="shared" si="4"/>
        <x:v>0</x:v>
      </x:c>
      <x:c r="J9" s="56">
        <x:f t="shared" si="0"/>
        <x:v>1.9607843137254901</x:v>
      </x:c>
    </x:row>
    <x:row r="10">
      <x:c r="C10" s="24" t="n">
        <x:f>SUM(C4:C9)</x:f>
        <x:v>25</x:v>
      </x:c>
      <x:c r="D10" s="24" t="n">
        <x:f t="shared" ref="D10:E10" si="5">SUM(D4:D9)</x:f>
        <x:v>16</x:v>
      </x:c>
      <x:c r="E10" s="24">
        <x:f t="shared" si="5"/>
        <x:v>10</x:v>
      </x:c>
      <x:c r="F10" s="24" t="n">
        <x:f>SUM(F4:F9)</x:f>
        <x:v>51</x:v>
      </x:c>
      <x:c r="G10" s="24" t="n">
        <x:f t="shared" ref="G10:I10" si="6">SUM(G4:G9)</x:f>
        <x:v>100</x:v>
      </x:c>
      <x:c r="H10" s="24">
        <x:f t="shared" si="6"/>
        <x:v>100</x:v>
      </x:c>
      <x:c r="I10" s="24">
        <x:f t="shared" si="6"/>
        <x:v>100</x:v>
      </x:c>
      <x:c r="J10" s="56" t="n">
        <x:f>SUM(J4:J9)</x:f>
        <x:v>99.99999999999999</x:v>
      </x:c>
    </x:row>
    <x:row r="13" ht="43.20000076293945">
      <x:c r="B13" s="22" t="s">
        <x:v>1275</x:v>
      </x:c>
      <x:c r="C13" s="22" t="s">
        <x:v>1268</x:v>
      </x:c>
      <x:c r="D13" s="22" t="s">
        <x:v>1269</x:v>
      </x:c>
      <x:c r="E13" s="22" t="s">
        <x:v>1270</x:v>
      </x:c>
      <x:c r="F13" s="22" t="s">
        <x:v>1271</x:v>
      </x:c>
      <x:c r="G13" s="22" t="s">
        <x:v>1259</x:v>
      </x:c>
      <x:c r="H13" s="22" t="s">
        <x:v>1260</x:v>
      </x:c>
      <x:c r="I13" s="22" t="s">
        <x:v>1261</x:v>
      </x:c>
      <x:c r="J13" s="22" t="s">
        <x:v>1272</x:v>
      </x:c>
    </x:row>
    <x:row r="14">
      <x:c r="B14" s="23" t="s">
        <x:v>1025</x:v>
      </x:c>
      <x:c r="C14" s="24">
        <x:v>10</x:v>
      </x:c>
      <x:c r="D14" s="24">
        <x:v>11</x:v>
      </x:c>
      <x:c r="E14" s="24">
        <x:v>1</x:v>
      </x:c>
      <x:c r="F14" s="24" t="n">
        <x:f>SUM(C14:E14)</x:f>
        <x:v>22</x:v>
      </x:c>
      <x:c r="G14" s="56" t="n">
        <x:f>100*(C14/$C$20)</x:f>
        <x:v>30.303030303030305</x:v>
      </x:c>
      <x:c r="H14" s="56" t="n">
        <x:f>100*(D14/$D$20)</x:f>
        <x:v>34.375</x:v>
      </x:c>
      <x:c r="I14" s="56" t="n">
        <x:f>100*(E14/$E$20)</x:f>
        <x:v>9.090909090909092</x:v>
      </x:c>
      <x:c r="J14" s="56" t="n">
        <x:f t="shared" ref="J14:J19" si="7">100*(F14/$F$20)</x:f>
        <x:v>28.947368421052634</x:v>
      </x:c>
    </x:row>
    <x:row r="15">
      <x:c r="B15" s="23" t="s">
        <x:v>852</x:v>
      </x:c>
      <x:c r="C15" s="24">
        <x:v>14</x:v>
      </x:c>
      <x:c r="D15" s="24">
        <x:v>12</x:v>
      </x:c>
      <x:c r="E15" s="24">
        <x:v>10</x:v>
      </x:c>
      <x:c r="F15" s="24" t="n">
        <x:f t="shared" ref="F15:F19" si="8">SUM(C15:E15)</x:f>
        <x:v>36</x:v>
      </x:c>
      <x:c r="G15" s="56" t="n">
        <x:f t="shared" ref="G15:G19" si="9">100*(C15/$C$20)</x:f>
        <x:v>42.42424242424242</x:v>
      </x:c>
      <x:c r="H15" s="56" t="n">
        <x:f t="shared" ref="H15:H19" si="10">100*(D15/$D$20)</x:f>
        <x:v>37.5</x:v>
      </x:c>
      <x:c r="I15" s="56" t="n">
        <x:f t="shared" ref="I15:I19" si="11">100*(E15/$E$20)</x:f>
        <x:v>90.9090909090909</x:v>
      </x:c>
      <x:c r="J15" s="56">
        <x:f t="shared" si="7"/>
        <x:v>47.368421052631575</x:v>
      </x:c>
    </x:row>
    <x:row r="16">
      <x:c r="B16" s="23" t="s">
        <x:v>496</x:v>
      </x:c>
      <x:c r="C16" s="24">
        <x:v>6</x:v>
      </x:c>
      <x:c r="D16" s="24">
        <x:v>2</x:v>
      </x:c>
      <x:c r="E16" s="24">
        <x:v>0</x:v>
      </x:c>
      <x:c r="F16" s="24">
        <x:f t="shared" si="8"/>
        <x:v>8</x:v>
      </x:c>
      <x:c r="G16" s="56">
        <x:f t="shared" si="9"/>
        <x:v>18.181818181818183</x:v>
      </x:c>
      <x:c r="H16" s="56">
        <x:f t="shared" si="10"/>
        <x:v>6.25</x:v>
      </x:c>
      <x:c r="I16" s="56">
        <x:f t="shared" si="11"/>
        <x:v>0</x:v>
      </x:c>
      <x:c r="J16" s="56">
        <x:f t="shared" si="7"/>
        <x:v>10.526315789473683</x:v>
      </x:c>
    </x:row>
    <x:row r="17">
      <x:c r="B17" s="54" t="s">
        <x:v>607</x:v>
      </x:c>
      <x:c r="C17" s="24">
        <x:v>1</x:v>
      </x:c>
      <x:c r="D17" s="24">
        <x:v>3</x:v>
      </x:c>
      <x:c r="E17" s="24">
        <x:v>0</x:v>
      </x:c>
      <x:c r="F17" s="24">
        <x:f t="shared" si="8"/>
        <x:v>4</x:v>
      </x:c>
      <x:c r="G17" s="56">
        <x:f t="shared" si="9"/>
        <x:v>3.0303030303030303</x:v>
      </x:c>
      <x:c r="H17" s="56">
        <x:f t="shared" si="10"/>
        <x:v>9.375</x:v>
      </x:c>
      <x:c r="I17" s="56">
        <x:f t="shared" si="11"/>
        <x:v>0</x:v>
      </x:c>
      <x:c r="J17" s="56">
        <x:f t="shared" si="7"/>
        <x:v>5.2631578947368416</x:v>
      </x:c>
    </x:row>
    <x:row r="18">
      <x:c r="B18" s="54" t="s">
        <x:v>681</x:v>
      </x:c>
      <x:c r="C18" s="24">
        <x:v>1</x:v>
      </x:c>
      <x:c r="D18" s="24">
        <x:v>1</x:v>
      </x:c>
      <x:c r="E18" s="24">
        <x:v>0</x:v>
      </x:c>
      <x:c r="F18" s="24">
        <x:f t="shared" si="8"/>
        <x:v>2</x:v>
      </x:c>
      <x:c r="G18" s="56">
        <x:f t="shared" si="9"/>
        <x:v>3.0303030303030303</x:v>
      </x:c>
      <x:c r="H18" s="56">
        <x:f t="shared" si="10"/>
        <x:v>3.125</x:v>
      </x:c>
      <x:c r="I18" s="56">
        <x:f t="shared" si="11"/>
        <x:v>0</x:v>
      </x:c>
      <x:c r="J18" s="56">
        <x:f t="shared" si="7"/>
        <x:v>2.6315789473684208</x:v>
      </x:c>
    </x:row>
    <x:row r="19">
      <x:c r="B19" s="23" t="s">
        <x:v>1276</x:v>
      </x:c>
      <x:c r="C19" s="24">
        <x:v>1</x:v>
      </x:c>
      <x:c r="D19" s="24">
        <x:v>3</x:v>
      </x:c>
      <x:c r="E19" s="24">
        <x:v>0</x:v>
      </x:c>
      <x:c r="F19" s="24">
        <x:f t="shared" si="8"/>
        <x:v>4</x:v>
      </x:c>
      <x:c r="G19" s="56">
        <x:f t="shared" si="9"/>
        <x:v>3.0303030303030303</x:v>
      </x:c>
      <x:c r="H19" s="56">
        <x:f t="shared" si="10"/>
        <x:v>9.375</x:v>
      </x:c>
      <x:c r="I19" s="56">
        <x:f t="shared" si="11"/>
        <x:v>0</x:v>
      </x:c>
      <x:c r="J19" s="56">
        <x:f t="shared" si="7"/>
        <x:v>5.2631578947368416</x:v>
      </x:c>
    </x:row>
    <x:row r="20">
      <x:c r="C20" s="24" t="n">
        <x:f>SUM(C14:C19)</x:f>
        <x:v>33</x:v>
      </x:c>
      <x:c r="D20" s="24" t="n">
        <x:f t="shared" ref="D20:E20" si="12">SUM(D14:D19)</x:f>
        <x:v>32</x:v>
      </x:c>
      <x:c r="E20" s="24">
        <x:f t="shared" si="12"/>
        <x:v>11</x:v>
      </x:c>
      <x:c r="F20" s="24" t="n">
        <x:f>SUM(F14:F19)</x:f>
        <x:v>76</x:v>
      </x:c>
      <x:c r="G20" s="24" t="n">
        <x:f t="shared" ref="G20:I20" si="13">SUM(G14:G19)</x:f>
        <x:v>100</x:v>
      </x:c>
      <x:c r="H20" s="24">
        <x:f t="shared" si="13"/>
        <x:v>100</x:v>
      </x:c>
      <x:c r="I20" s="24">
        <x:f t="shared" si="13"/>
        <x:v>100</x:v>
      </x:c>
      <x:c r="J20" s="56" t="n">
        <x:f>SUM(J14:J19)</x:f>
        <x:v>99.99999999999999</x:v>
      </x:c>
    </x:row>
    <x:row r="23" ht="49.20000076293945" customHeight="1">
      <x:c r="B23" s="22" t="s">
        <x:v>1277</x:v>
      </x:c>
      <x:c r="C23" s="22" t="s">
        <x:v>1268</x:v>
      </x:c>
      <x:c r="D23" s="22" t="s">
        <x:v>1269</x:v>
      </x:c>
      <x:c r="E23" s="22" t="s">
        <x:v>1270</x:v>
      </x:c>
      <x:c r="F23" s="22" t="s">
        <x:v>1271</x:v>
      </x:c>
      <x:c r="G23" s="22" t="s">
        <x:v>1259</x:v>
      </x:c>
      <x:c r="H23" s="22" t="s">
        <x:v>1260</x:v>
      </x:c>
      <x:c r="I23" s="22" t="s">
        <x:v>1261</x:v>
      </x:c>
      <x:c r="J23" s="22" t="s">
        <x:v>1272</x:v>
      </x:c>
    </x:row>
    <x:row r="24">
      <x:c r="B24" s="23" t="s">
        <x:v>50</x:v>
      </x:c>
      <x:c r="C24" s="24">
        <x:v>5</x:v>
      </x:c>
      <x:c r="D24" s="24">
        <x:v>19</x:v>
      </x:c>
      <x:c r="E24" s="24">
        <x:v>2</x:v>
      </x:c>
      <x:c r="F24" s="24" t="n">
        <x:f>SUM(C24:E24)</x:f>
        <x:v>26</x:v>
      </x:c>
      <x:c r="G24" s="56" t="n">
        <x:f>100*(C24/$C$41)</x:f>
        <x:v>20</x:v>
      </x:c>
      <x:c r="H24" s="56" t="n">
        <x:f>100*(D24/$D$41)</x:f>
        <x:v>54.285714285714285</x:v>
      </x:c>
      <x:c r="I24" s="56" t="n">
        <x:f>100*(E24/$E$41)</x:f>
        <x:v>16.666666666666664</x:v>
      </x:c>
      <x:c r="J24" s="56" t="n">
        <x:f t="shared" ref="J24:J40" si="14">100*(F24/$F$41)</x:f>
        <x:v>36.11111111111111</x:v>
      </x:c>
    </x:row>
    <x:row r="25">
      <x:c r="B25" s="23" t="s">
        <x:v>495</x:v>
      </x:c>
      <x:c r="C25" s="24">
        <x:v>0</x:v>
      </x:c>
      <x:c r="D25" s="24">
        <x:v>1</x:v>
      </x:c>
      <x:c r="E25" s="24">
        <x:v>0</x:v>
      </x:c>
      <x:c r="F25" s="24" t="n">
        <x:f t="shared" ref="F25:F40" si="15">SUM(C25:E25)</x:f>
        <x:v>1</x:v>
      </x:c>
      <x:c r="G25" s="56" t="n">
        <x:f t="shared" ref="G25:G40" si="16">100*(C25/$C$41)</x:f>
        <x:v>0</x:v>
      </x:c>
      <x:c r="H25" s="56" t="n">
        <x:f t="shared" ref="H25:H40" si="17">100*(D25/$D$41)</x:f>
        <x:v>2.857142857142857</x:v>
      </x:c>
      <x:c r="I25" s="56" t="n">
        <x:f t="shared" ref="I25:I40" si="18">100*(E25/$E$41)</x:f>
        <x:v>0</x:v>
      </x:c>
      <x:c r="J25" s="56">
        <x:f t="shared" si="14"/>
        <x:v>1.3888888888888888</x:v>
      </x:c>
    </x:row>
    <x:row r="26">
      <x:c r="B26" s="23" t="s">
        <x:v>177</x:v>
      </x:c>
      <x:c r="C26" s="24">
        <x:v>1</x:v>
      </x:c>
      <x:c r="D26" s="24">
        <x:v>4</x:v>
      </x:c>
      <x:c r="E26" s="24">
        <x:v>1</x:v>
      </x:c>
      <x:c r="F26" s="24">
        <x:f t="shared" si="15"/>
        <x:v>6</x:v>
      </x:c>
      <x:c r="G26" s="56">
        <x:f t="shared" si="16"/>
        <x:v>4</x:v>
      </x:c>
      <x:c r="H26" s="56">
        <x:f t="shared" si="17"/>
        <x:v>11.428571428571429</x:v>
      </x:c>
      <x:c r="I26" s="56">
        <x:f t="shared" si="18"/>
        <x:v>8.3333333333333321</x:v>
      </x:c>
      <x:c r="J26" s="56">
        <x:f t="shared" si="14"/>
        <x:v>8.3333333333333321</x:v>
      </x:c>
    </x:row>
    <x:row r="27">
      <x:c r="B27" s="54" t="s">
        <x:v>111</x:v>
      </x:c>
      <x:c r="C27" s="24">
        <x:v>1</x:v>
      </x:c>
      <x:c r="D27" s="24">
        <x:v>2</x:v>
      </x:c>
      <x:c r="E27" s="24">
        <x:v>0</x:v>
      </x:c>
      <x:c r="F27" s="24">
        <x:f t="shared" si="15"/>
        <x:v>3</x:v>
      </x:c>
      <x:c r="G27" s="56">
        <x:f t="shared" si="16"/>
        <x:v>4</x:v>
      </x:c>
      <x:c r="H27" s="56">
        <x:f t="shared" si="17"/>
        <x:v>5.7142857142857144</x:v>
      </x:c>
      <x:c r="I27" s="56">
        <x:f t="shared" si="18"/>
        <x:v>0</x:v>
      </x:c>
      <x:c r="J27" s="56">
        <x:f t="shared" si="14"/>
        <x:v>4.1666666666666661</x:v>
      </x:c>
    </x:row>
    <x:row r="28">
      <x:c r="B28" s="54" t="s">
        <x:v>89</x:v>
      </x:c>
      <x:c r="C28" s="24">
        <x:v>2</x:v>
      </x:c>
      <x:c r="D28" s="24">
        <x:v>1</x:v>
      </x:c>
      <x:c r="E28" s="24">
        <x:v>0</x:v>
      </x:c>
      <x:c r="F28" s="24">
        <x:f t="shared" si="15"/>
        <x:v>3</x:v>
      </x:c>
      <x:c r="G28" s="56">
        <x:f t="shared" si="16"/>
        <x:v>8</x:v>
      </x:c>
      <x:c r="H28" s="56">
        <x:f t="shared" si="17"/>
        <x:v>2.8571428571428572</x:v>
      </x:c>
      <x:c r="I28" s="56">
        <x:f t="shared" si="18"/>
        <x:v>0</x:v>
      </x:c>
      <x:c r="J28" s="56">
        <x:f t="shared" si="14"/>
        <x:v>4.1666666666666661</x:v>
      </x:c>
    </x:row>
    <x:row r="29">
      <x:c r="B29" s="23" t="s">
        <x:v>76</x:v>
      </x:c>
      <x:c r="C29" s="24">
        <x:v>4</x:v>
      </x:c>
      <x:c r="D29" s="24">
        <x:v>5</x:v>
      </x:c>
      <x:c r="E29" s="24">
        <x:v>1</x:v>
      </x:c>
      <x:c r="F29" s="24">
        <x:f t="shared" si="15"/>
        <x:v>10</x:v>
      </x:c>
      <x:c r="G29" s="56">
        <x:f t="shared" si="16"/>
        <x:v>16</x:v>
      </x:c>
      <x:c r="H29" s="56">
        <x:f t="shared" si="17"/>
        <x:v>14.285714285714285</x:v>
      </x:c>
      <x:c r="I29" s="56">
        <x:f t="shared" si="18"/>
        <x:v>8.3333333333333321</x:v>
      </x:c>
      <x:c r="J29" s="56">
        <x:f t="shared" si="14"/>
        <x:v>13.888888888888889</x:v>
      </x:c>
    </x:row>
    <x:row r="30">
      <x:c r="B30" s="23" t="s">
        <x:v>341</x:v>
      </x:c>
      <x:c r="C30" s="24">
        <x:v>0</x:v>
      </x:c>
      <x:c r="D30" s="24">
        <x:v>1</x:v>
      </x:c>
      <x:c r="E30" s="24">
        <x:v>0</x:v>
      </x:c>
      <x:c r="F30" s="24">
        <x:f t="shared" si="15"/>
        <x:v>1</x:v>
      </x:c>
      <x:c r="G30" s="56">
        <x:f t="shared" si="16"/>
        <x:v>0</x:v>
      </x:c>
      <x:c r="H30" s="56">
        <x:f t="shared" si="17"/>
        <x:v>2.8571428571428572</x:v>
      </x:c>
      <x:c r="I30" s="56">
        <x:f t="shared" si="18"/>
        <x:v>0</x:v>
      </x:c>
      <x:c r="J30" s="56">
        <x:f t="shared" si="14"/>
        <x:v>1.3888888888888888</x:v>
      </x:c>
    </x:row>
    <x:row r="31">
      <x:c r="B31" s="23" t="s">
        <x:v>1278</x:v>
      </x:c>
      <x:c r="C31" s="24">
        <x:v>1</x:v>
      </x:c>
      <x:c r="D31" s="24">
        <x:v>0</x:v>
      </x:c>
      <x:c r="E31" s="24">
        <x:v>0</x:v>
      </x:c>
      <x:c r="F31" s="24">
        <x:f t="shared" si="15"/>
        <x:v>1</x:v>
      </x:c>
      <x:c r="G31" s="56">
        <x:f t="shared" si="16"/>
        <x:v>4</x:v>
      </x:c>
      <x:c r="H31" s="56">
        <x:f t="shared" si="17"/>
        <x:v>0</x:v>
      </x:c>
      <x:c r="I31" s="56">
        <x:f t="shared" si="18"/>
        <x:v>0</x:v>
      </x:c>
      <x:c r="J31" s="56">
        <x:f t="shared" si="14"/>
        <x:v>1.3888888888888888</x:v>
      </x:c>
    </x:row>
    <x:row r="32">
      <x:c r="B32" s="23" t="s">
        <x:v>190</x:v>
      </x:c>
      <x:c r="C32" s="24">
        <x:v>1</x:v>
      </x:c>
      <x:c r="D32" s="24">
        <x:v>0</x:v>
      </x:c>
      <x:c r="E32" s="24">
        <x:v>0</x:v>
      </x:c>
      <x:c r="F32" s="24">
        <x:f t="shared" si="15"/>
        <x:v>1</x:v>
      </x:c>
      <x:c r="G32" s="56">
        <x:f t="shared" si="16"/>
        <x:v>4</x:v>
      </x:c>
      <x:c r="H32" s="56">
        <x:f t="shared" si="17"/>
        <x:v>0</x:v>
      </x:c>
      <x:c r="I32" s="56">
        <x:f t="shared" si="18"/>
        <x:v>0</x:v>
      </x:c>
      <x:c r="J32" s="56">
        <x:f t="shared" si="14"/>
        <x:v>1.3888888888888888</x:v>
      </x:c>
    </x:row>
    <x:row r="33">
      <x:c r="B33" s="23" t="s">
        <x:v>1279</x:v>
      </x:c>
      <x:c r="C33" s="24">
        <x:v>1</x:v>
      </x:c>
      <x:c r="D33" s="24">
        <x:v>0</x:v>
      </x:c>
      <x:c r="E33" s="24">
        <x:v>0</x:v>
      </x:c>
      <x:c r="F33" s="24">
        <x:f t="shared" si="15"/>
        <x:v>1</x:v>
      </x:c>
      <x:c r="G33" s="56">
        <x:f t="shared" si="16"/>
        <x:v>4</x:v>
      </x:c>
      <x:c r="H33" s="56">
        <x:f t="shared" si="17"/>
        <x:v>0</x:v>
      </x:c>
      <x:c r="I33" s="56">
        <x:f t="shared" si="18"/>
        <x:v>0</x:v>
      </x:c>
      <x:c r="J33" s="56">
        <x:f t="shared" si="14"/>
        <x:v>1.3888888888888888</x:v>
      </x:c>
    </x:row>
    <x:row r="34">
      <x:c r="B34" s="23" t="s">
        <x:v>238</x:v>
      </x:c>
      <x:c r="C34" s="24">
        <x:v>6</x:v>
      </x:c>
      <x:c r="D34" s="24">
        <x:v>0</x:v>
      </x:c>
      <x:c r="E34" s="24">
        <x:v>0</x:v>
      </x:c>
      <x:c r="F34" s="24">
        <x:f t="shared" si="15"/>
        <x:v>6</x:v>
      </x:c>
      <x:c r="G34" s="56">
        <x:f t="shared" si="16"/>
        <x:v>24</x:v>
      </x:c>
      <x:c r="H34" s="56">
        <x:f t="shared" si="17"/>
        <x:v>0</x:v>
      </x:c>
      <x:c r="I34" s="56">
        <x:f t="shared" si="18"/>
        <x:v>0</x:v>
      </x:c>
      <x:c r="J34" s="56">
        <x:f t="shared" si="14"/>
        <x:v>8.3333333333333321</x:v>
      </x:c>
    </x:row>
    <x:row r="35">
      <x:c r="B35" s="23" t="s">
        <x:v>292</x:v>
      </x:c>
      <x:c r="C35" s="24">
        <x:v>1</x:v>
      </x:c>
      <x:c r="D35" s="24">
        <x:v>0</x:v>
      </x:c>
      <x:c r="E35" s="24">
        <x:v>0</x:v>
      </x:c>
      <x:c r="F35" s="24">
        <x:f t="shared" si="15"/>
        <x:v>1</x:v>
      </x:c>
      <x:c r="G35" s="56">
        <x:f t="shared" si="16"/>
        <x:v>4</x:v>
      </x:c>
      <x:c r="H35" s="56">
        <x:f t="shared" si="17"/>
        <x:v>0</x:v>
      </x:c>
      <x:c r="I35" s="56">
        <x:f t="shared" si="18"/>
        <x:v>0</x:v>
      </x:c>
      <x:c r="J35" s="56">
        <x:f t="shared" si="14"/>
        <x:v>1.3888888888888888</x:v>
      </x:c>
    </x:row>
    <x:row r="36">
      <x:c r="B36" s="23" t="s">
        <x:v>303</x:v>
      </x:c>
      <x:c r="C36" s="24">
        <x:v>2</x:v>
      </x:c>
      <x:c r="D36" s="24">
        <x:v>0</x:v>
      </x:c>
      <x:c r="E36" s="24">
        <x:v>1</x:v>
      </x:c>
      <x:c r="F36" s="24">
        <x:f t="shared" si="15"/>
        <x:v>3</x:v>
      </x:c>
      <x:c r="G36" s="56">
        <x:f t="shared" si="16"/>
        <x:v>8</x:v>
      </x:c>
      <x:c r="H36" s="56">
        <x:f t="shared" si="17"/>
        <x:v>0</x:v>
      </x:c>
      <x:c r="I36" s="56">
        <x:f t="shared" si="18"/>
        <x:v>8.3333333333333321</x:v>
      </x:c>
      <x:c r="J36" s="56">
        <x:f t="shared" si="14"/>
        <x:v>4.1666666666666661</x:v>
      </x:c>
    </x:row>
    <x:row r="37">
      <x:c r="B37" s="23" t="s">
        <x:v>1280</x:v>
      </x:c>
      <x:c r="C37" s="24">
        <x:v>0</x:v>
      </x:c>
      <x:c r="D37" s="24">
        <x:v>0</x:v>
      </x:c>
      <x:c r="E37" s="24">
        <x:v>1</x:v>
      </x:c>
      <x:c r="F37" s="24">
        <x:f t="shared" si="15"/>
        <x:v>1</x:v>
      </x:c>
      <x:c r="G37" s="56">
        <x:f t="shared" si="16"/>
        <x:v>0</x:v>
      </x:c>
      <x:c r="H37" s="56">
        <x:f t="shared" si="17"/>
        <x:v>0</x:v>
      </x:c>
      <x:c r="I37" s="56">
        <x:f t="shared" si="18"/>
        <x:v>8.3333333333333321</x:v>
      </x:c>
      <x:c r="J37" s="56">
        <x:f t="shared" si="14"/>
        <x:v>1.3888888888888888</x:v>
      </x:c>
    </x:row>
    <x:row r="38">
      <x:c r="B38" s="23" t="s">
        <x:v>864</x:v>
      </x:c>
      <x:c r="C38" s="24">
        <x:v>0</x:v>
      </x:c>
      <x:c r="D38" s="24">
        <x:v>0</x:v>
      </x:c>
      <x:c r="E38" s="24">
        <x:v>1</x:v>
      </x:c>
      <x:c r="F38" s="24">
        <x:f t="shared" si="15"/>
        <x:v>1</x:v>
      </x:c>
      <x:c r="G38" s="56">
        <x:f t="shared" si="16"/>
        <x:v>0</x:v>
      </x:c>
      <x:c r="H38" s="56">
        <x:f t="shared" si="17"/>
        <x:v>0</x:v>
      </x:c>
      <x:c r="I38" s="56">
        <x:f t="shared" si="18"/>
        <x:v>8.3333333333333321</x:v>
      </x:c>
      <x:c r="J38" s="56">
        <x:f t="shared" si="14"/>
        <x:v>1.3888888888888888</x:v>
      </x:c>
    </x:row>
    <x:row r="39">
      <x:c r="B39" s="23" t="s">
        <x:v>1281</x:v>
      </x:c>
      <x:c r="C39" s="24">
        <x:v>0</x:v>
      </x:c>
      <x:c r="D39" s="24">
        <x:v>0</x:v>
      </x:c>
      <x:c r="E39" s="24">
        <x:v>1</x:v>
      </x:c>
      <x:c r="F39" s="24">
        <x:f t="shared" si="15"/>
        <x:v>1</x:v>
      </x:c>
      <x:c r="G39" s="56">
        <x:f t="shared" si="16"/>
        <x:v>0</x:v>
      </x:c>
      <x:c r="H39" s="56">
        <x:f t="shared" si="17"/>
        <x:v>0</x:v>
      </x:c>
      <x:c r="I39" s="56">
        <x:f t="shared" si="18"/>
        <x:v>8.3333333333333321</x:v>
      </x:c>
      <x:c r="J39" s="56">
        <x:f t="shared" si="14"/>
        <x:v>1.3888888888888888</x:v>
      </x:c>
    </x:row>
    <x:row r="40">
      <x:c r="B40" s="23" t="s">
        <x:v>1282</x:v>
      </x:c>
      <x:c r="C40" s="24">
        <x:v>0</x:v>
      </x:c>
      <x:c r="D40" s="24">
        <x:v>2</x:v>
      </x:c>
      <x:c r="E40" s="24">
        <x:v>4</x:v>
      </x:c>
      <x:c r="F40" s="24">
        <x:f t="shared" si="15"/>
        <x:v>6</x:v>
      </x:c>
      <x:c r="G40" s="56">
        <x:f t="shared" si="16"/>
        <x:v>0</x:v>
      </x:c>
      <x:c r="H40" s="56">
        <x:f t="shared" si="17"/>
        <x:v>5.7142857142857144</x:v>
      </x:c>
      <x:c r="I40" s="56">
        <x:f t="shared" si="18"/>
        <x:v>33.333333333333329</x:v>
      </x:c>
      <x:c r="J40" s="56">
        <x:f t="shared" si="14"/>
        <x:v>8.3333333333333321</x:v>
      </x:c>
    </x:row>
    <x:row r="41">
      <x:c r="B41" s="25" t="s">
        <x:v>1257</x:v>
      </x:c>
      <x:c r="C41" s="25" t="n">
        <x:f>SUM(C24:C40)</x:f>
        <x:v>25</x:v>
      </x:c>
      <x:c r="D41" s="25" t="n">
        <x:f t="shared" ref="D41:E41" si="19">SUM(D24:D40)</x:f>
        <x:v>35</x:v>
      </x:c>
      <x:c r="E41" s="25">
        <x:f t="shared" si="19"/>
        <x:v>12</x:v>
      </x:c>
      <x:c r="F41" s="25" t="n">
        <x:f>SUM(F24:F40)</x:f>
        <x:v>72</x:v>
      </x:c>
      <x:c r="G41" s="25" t="n">
        <x:f t="shared" ref="G41:I41" si="20">SUM(G24:G40)</x:f>
        <x:v>100</x:v>
      </x:c>
      <x:c r="H41" s="25">
        <x:f t="shared" si="20"/>
        <x:v>99.999999999999986</x:v>
      </x:c>
      <x:c r="I41" s="25">
        <x:f t="shared" si="20"/>
        <x:v>99.999999999999972</x:v>
      </x:c>
      <x:c r="J41" s="25" t="n">
        <x:f>SUM(J24:J40)</x:f>
        <x:v>99.99999999999996</x:v>
      </x:c>
    </x:row>
  </x:sheetData>
  <x:pageMargins left="0.7" right="0.7" top="0.75" bottom="0.75" header="0.3" footer="0.3"/>
  <x:drawing xmlns:r="http://schemas.openxmlformats.org/officeDocument/2006/relationships" r:id="R7e80111e6a684ebd"/>
</x:worksheet>
</file>

<file path=xl/worksheets/sheet8.xml><?xml version="1.0" encoding="utf-8"?>
<x:worksheet xmlns:x="http://schemas.openxmlformats.org/spreadsheetml/2006/main">
  <x:sheetFormatPr baseColWidth="10" defaultColWidth="11.44140625" defaultRowHeight="14.399999618530273"/>
  <x:cols>
    <x:col min="1" max="1" width="40.44140625" customWidth="1"/>
    <x:col min="2" max="2" width="10.6640625" customWidth="1"/>
  </x:cols>
  <x:sheetData>
    <x:row r="1" ht="15"/>
    <x:row r="2">
      <x:c r="A2" s="258" t="s">
        <x:v>1283</x:v>
      </x:c>
      <x:c r="B2" s="258" t="s">
        <x:v>1284</x:v>
      </x:c>
    </x:row>
    <x:row r="3" ht="15">
      <x:c r="A3" s="259"/>
      <x:c r="B3" s="259"/>
    </x:row>
    <x:row r="4">
      <x:c r="A4" s="160" t="s">
        <x:v>1285</x:v>
      </x:c>
      <x:c r="B4" s="140">
        <x:v>5</x:v>
      </x:c>
    </x:row>
    <x:row r="5">
      <x:c r="A5" s="161" t="s">
        <x:v>1286</x:v>
      </x:c>
      <x:c r="B5" s="162">
        <x:v>32</x:v>
      </x:c>
    </x:row>
    <x:row r="6">
      <x:c r="A6" s="161" t="s">
        <x:v>1287</x:v>
      </x:c>
      <x:c r="B6" s="162">
        <x:v>5</x:v>
      </x:c>
    </x:row>
    <x:row r="7">
      <x:c r="A7" s="161" t="s">
        <x:v>1288</x:v>
      </x:c>
      <x:c r="B7" s="162">
        <x:v>8</x:v>
      </x:c>
    </x:row>
    <x:row r="8">
      <x:c r="A8" s="161" t="s">
        <x:v>1289</x:v>
      </x:c>
      <x:c r="B8" s="162">
        <x:v>0</x:v>
      </x:c>
    </x:row>
    <x:row r="9">
      <x:c r="A9" s="161" t="s">
        <x:v>1290</x:v>
      </x:c>
      <x:c r="B9" s="162">
        <x:v>19</x:v>
      </x:c>
    </x:row>
    <x:row r="10">
      <x:c r="A10" s="161" t="s">
        <x:v>1291</x:v>
      </x:c>
      <x:c r="B10" s="162">
        <x:v>0</x:v>
      </x:c>
    </x:row>
    <x:row r="11">
      <x:c r="A11" s="161" t="s">
        <x:v>1292</x:v>
      </x:c>
      <x:c r="B11" s="162">
        <x:v>3</x:v>
      </x:c>
    </x:row>
    <x:row r="12">
      <x:c r="A12" s="161" t="s">
        <x:v>1293</x:v>
      </x:c>
      <x:c r="B12" s="162">
        <x:v>0</x:v>
      </x:c>
    </x:row>
    <x:row r="13">
      <x:c r="A13" s="161" t="s">
        <x:v>1294</x:v>
      </x:c>
      <x:c r="B13" s="162">
        <x:v>0</x:v>
      </x:c>
    </x:row>
    <x:row r="14" ht="15">
      <x:c r="A14" s="163" t="s">
        <x:v>1295</x:v>
      </x:c>
      <x:c r="B14" s="164" t="n">
        <x:f>SUM(B4:B13)</x:f>
        <x:v>72</x:v>
      </x:c>
    </x:row>
    <x:row r="15">
      <x:c r="A15" s="165"/>
      <x:c r="B15" s="166"/>
    </x:row>
    <x:row r="16" ht="15">
      <x:c r="A16" s="165"/>
      <x:c r="B16" s="166"/>
    </x:row>
    <x:row r="17">
      <x:c r="A17" s="258" t="s">
        <x:v>1296</x:v>
      </x:c>
      <x:c r="B17" s="258" t="s">
        <x:v>1284</x:v>
      </x:c>
    </x:row>
    <x:row r="18" ht="15">
      <x:c r="A18" s="259"/>
      <x:c r="B18" s="259"/>
    </x:row>
    <x:row r="19">
      <x:c r="A19" s="160" t="s">
        <x:v>1285</x:v>
      </x:c>
      <x:c r="B19" s="140">
        <x:v>5</x:v>
      </x:c>
    </x:row>
    <x:row r="20">
      <x:c r="A20" s="161" t="s">
        <x:v>1286</x:v>
      </x:c>
      <x:c r="B20" s="162">
        <x:v>32</x:v>
      </x:c>
    </x:row>
    <x:row r="21">
      <x:c r="A21" s="161" t="s">
        <x:v>1297</x:v>
      </x:c>
      <x:c r="B21" s="162">
        <x:v>5</x:v>
      </x:c>
    </x:row>
    <x:row r="22">
      <x:c r="A22" s="161" t="s">
        <x:v>1298</x:v>
      </x:c>
      <x:c r="B22" s="162">
        <x:v>2</x:v>
      </x:c>
    </x:row>
    <x:row r="23">
      <x:c r="A23" s="161" t="s">
        <x:v>1299</x:v>
      </x:c>
      <x:c r="B23" s="162">
        <x:v>4</x:v>
      </x:c>
    </x:row>
    <x:row r="24" ht="28.799999237060547">
      <x:c r="A24" s="161" t="s">
        <x:v>1300</x:v>
      </x:c>
      <x:c r="B24" s="162">
        <x:v>8</x:v>
      </x:c>
    </x:row>
    <x:row r="25">
      <x:c r="A25" s="167" t="s">
        <x:v>1301</x:v>
      </x:c>
      <x:c r="B25" s="168">
        <x:v>3</x:v>
      </x:c>
    </x:row>
    <x:row r="26" ht="28.799999237060547">
      <x:c r="A26" s="161" t="s">
        <x:v>1302</x:v>
      </x:c>
      <x:c r="B26" s="162">
        <x:v>8</x:v>
      </x:c>
    </x:row>
    <x:row r="27">
      <x:c r="A27" s="161" t="s">
        <x:v>1287</x:v>
      </x:c>
      <x:c r="B27" s="162">
        <x:v>5</x:v>
      </x:c>
    </x:row>
    <x:row r="28">
      <x:c r="A28" s="161" t="s">
        <x:v>1288</x:v>
      </x:c>
      <x:c r="B28" s="162">
        <x:v>8</x:v>
      </x:c>
    </x:row>
    <x:row r="29">
      <x:c r="A29" s="161" t="s">
        <x:v>1289</x:v>
      </x:c>
      <x:c r="B29" s="162">
        <x:v>0</x:v>
      </x:c>
    </x:row>
    <x:row r="30">
      <x:c r="A30" s="161" t="s">
        <x:v>1290</x:v>
      </x:c>
      <x:c r="B30" s="162">
        <x:v>19</x:v>
      </x:c>
    </x:row>
    <x:row r="31">
      <x:c r="A31" s="161" t="s">
        <x:v>1291</x:v>
      </x:c>
      <x:c r="B31" s="162">
        <x:v>0</x:v>
      </x:c>
    </x:row>
    <x:row r="32">
      <x:c r="A32" s="161" t="s">
        <x:v>1292</x:v>
      </x:c>
      <x:c r="B32" s="162">
        <x:v>3</x:v>
      </x:c>
    </x:row>
    <x:row r="33">
      <x:c r="A33" s="161" t="s">
        <x:v>1293</x:v>
      </x:c>
      <x:c r="B33" s="162">
        <x:v>0</x:v>
      </x:c>
    </x:row>
    <x:row r="34">
      <x:c r="A34" s="161" t="s">
        <x:v>1294</x:v>
      </x:c>
      <x:c r="B34" s="162">
        <x:v>0</x:v>
      </x:c>
    </x:row>
    <x:row r="35" ht="15">
      <x:c r="A35" s="169" t="s">
        <x:v>1257</x:v>
      </x:c>
      <x:c r="B35" s="164" t="n">
        <x:f>B19+B20+B27+B28+B29+B30+B31+B32+B33+B34</x:f>
        <x:v>72</x:v>
      </x:c>
    </x:row>
  </x:sheetData>
  <x:mergeCells>
    <x:mergeCell ref="A2:A3"/>
    <x:mergeCell ref="B2:B3"/>
    <x:mergeCell ref="A17:A18"/>
    <x:mergeCell ref="B17:B18"/>
  </x:mergeCells>
  <x:pageMargins left="0.7" right="0.7" top="0.75" bottom="0.75" header="0.3" footer="0.3"/>
</x:worksheet>
</file>

<file path=xl/worksheets/sheet9.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42" hidden="0" customWidth="1"/>
    <x:col min="2" max="2" width="28" hidden="0" customWidth="1"/>
    <x:col min="3" max="3" width="10" hidden="0" customWidth="1"/>
    <x:col min="4" max="4" width="28" hidden="0" customWidth="1"/>
    <x:col min="5" max="5" width="19" hidden="0" customWidth="1"/>
    <x:col min="6" max="6" width="19" hidden="0" customWidth="1"/>
    <x:col min="7" max="7" width="14" hidden="0" customWidth="1"/>
    <x:col min="8" max="8" width="14" hidden="0" customWidth="1"/>
    <x:col min="9" max="9" width="72" hidden="0" customWidth="1"/>
    <x:col min="10" max="10" width="16" hidden="0" customWidth="1"/>
  </x:cols>
  <x:sheetData>
    <x:row r="1" ht="34" customHeight="1">
      <x:c r="A1" s="270" t="str">
        <x:v>titulo</x:v>
      </x:c>
      <x:c r="B1" s="271" t="str">
        <x:v>autores</x:v>
      </x:c>
      <x:c r="C1" s="271" t="str">
        <x:v>anio</x:v>
      </x:c>
      <x:c r="D1" s="271" t="str">
        <x:v>Línea prioritaria de investigación ECAP</x:v>
      </x:c>
      <x:c r="E1" s="271" t="str">
        <x:v>tipo</x:v>
      </x:c>
      <x:c r="F1" s="271" t="str">
        <x:v>estado</x:v>
      </x:c>
      <x:c r="G1" s="271" t="str">
        <x:v>latitud</x:v>
      </x:c>
      <x:c r="H1" s="271" t="str">
        <x:v>longitud</x:v>
      </x:c>
      <x:c r="I1" s="271" t="str">
        <x:v>resumen</x:v>
      </x:c>
      <x:c r="J1" s="272" t="str">
        <x:v>presupuesto</x:v>
      </x:c>
    </x:row>
    <x:row r="2" ht="88" customHeight="1">
      <x:c r="A2" s="274" t="str">
        <x:v>Actualización del balance hídrico del embalse Salve Faccha</x:v>
      </x:c>
      <x:c r="B2" s="274" t="str">
        <x:v>John Satuquinga</x:v>
      </x:c>
      <x:c r="C2" s="275" t="str">
        <x:v>2025</x:v>
      </x:c>
      <x:c r="D2" s="274" t="str">
        <x:v>Manejo de embalses</x:v>
      </x:c>
      <x:c r="E2" s="274" t="str">
        <x:v>Apoyo a investigacion</x:v>
      </x:c>
      <x:c r="F2" s="274" t="str">
        <x:v>En curso</x:v>
      </x:c>
      <x:c r="G2" s="280" t="n">
        <x:v>-0.230391</x:v>
      </x:c>
      <x:c r="H2" s="280" t="n">
        <x:v>-78.154659</x:v>
      </x:c>
      <x:c r="I2" s="274" t="str">
        <x:v>El avance busca actualizar el balance hídrico del embalse Salve Faccha, en el Parque Nacional Cayambe-Coca, para reconocer los componentes que condicionan su disponibilidad de agua. Considera precipitación, entradas y salidas, evaporación, transpiración y cambios de almacenamiento mediante análisis de eventos y cálculos mensuales. Se espera obtener un balance actualizado que apoye la operación del embalse y la gestión del recurso hídrico.</x:v>
      </x:c>
      <x:c r="J2" s="283"/>
    </x:row>
    <x:row r="3" ht="88" customHeight="1">
      <x:c r="A3" s="276" t="str">
        <x:v>Actualización del modelo de distribución de recursos hídricos WEAP para la cuenca alta del río Guayllabamba y unidades hídricas aportantes de agua para el Distrito Metropolitano de Quito (DMQ)</x:v>
      </x:c>
      <x:c r="B3" s="276" t="str">
        <x:v>Alexander Bryan Rocha Villafuerte</x:v>
      </x:c>
      <x:c r="C3" s="277" t="str">
        <x:v>2019</x:v>
      </x:c>
      <x:c r="D3" s="276" t="str">
        <x:v>Hidrología</x:v>
      </x:c>
      <x:c r="E3" s="276" t="str">
        <x:v>Apoyo a investigacion</x:v>
      </x:c>
      <x:c r="F3" s="276" t="str">
        <x:v>En curso</x:v>
      </x:c>
      <x:c r="G3" s="281" t="n">
        <x:v>-0.266817</x:v>
      </x:c>
      <x:c r="H3" s="281" t="n">
        <x:v>-78.484937</x:v>
      </x:c>
      <x:c r="I3" s="276" t="str">
        <x:v>El proyecto propone actualizar el modelo WEAP para distribuir recursos hídricos en la cuenca alta del río Guayllabamba y las unidades que abastecen al Distrito Metropolitano de Quito. Prevé recopilar y depurar información hidrometeorológica, de oferta, demanda e infraestructura, e incorporar escenarios de disponibilidad. Los productos previstos son una estructura de modelación actualizada y simulaciones para analizar asignación, déficit y alternativas de manejo.</x:v>
      </x:c>
      <x:c r="J3" s="284"/>
    </x:row>
    <x:row r="4" ht="88" customHeight="1">
      <x:c r="A4" s="276" t="str">
        <x:v>Análisis de la variabilidad espacio-temporal de la precipitación y su relación con las proyecciones de cambio climático en las zonas Antisana-Papallacta</x:v>
      </x:c>
      <x:c r="B4" s="276" t="str">
        <x:v>Cristina Aguirre</x:v>
      </x:c>
      <x:c r="C4" s="277" t="str">
        <x:v>2026</x:v>
      </x:c>
      <x:c r="D4" s="276" t="str">
        <x:v>Cambio climático y global</x:v>
      </x:c>
      <x:c r="E4" s="276" t="str">
        <x:v>Apoyo a investigacion</x:v>
      </x:c>
      <x:c r="F4" s="276" t="str">
        <x:v>En curso</x:v>
      </x:c>
      <x:c r="G4" s="281" t="n">
        <x:v>-0.336482</x:v>
      </x:c>
      <x:c r="H4" s="281" t="n">
        <x:v>-78.152731</x:v>
      </x:c>
      <x:c r="I4" s="276" t="str">
        <x:v>La investigación analiza la variabilidad espacial y temporal de la precipitación y los extremos climáticos en Antisana-Papallacta, y la contrasta con las series de SEI-WEAP. Procesó registros diarios de 2010 a 2024 de 26 estaciones FONAG-EPMAPS mediante control de calidad, pruebas de homogeneidad, índices de extremos y comparación entre Kriging e IDW. El documento disponible reporta 35 episodios de sequía, mejor desempeño de Kriging y baja concordancia local con WEAP, evidencias que sirven para recalibrar umbrales de gestión.</x:v>
      </x:c>
      <x:c r="J4" s="284"/>
    </x:row>
    <x:row r="5" ht="88" customHeight="1">
      <x:c r="A5" s="276" t="str">
        <x:v>Análisis de riesgo territorial en la cuenca Rumipamba mediante clasificación de cobertura y uso de suelo con UAV y SIG</x:v>
      </x:c>
      <x:c r="B5" s="276" t="str">
        <x:v>Xavier Marcelo Mena Vela</x:v>
      </x:c>
      <x:c r="C5" s="277" t="str">
        <x:v>2026</x:v>
      </x:c>
      <x:c r="D5" s="276" t="str">
        <x:v>Análisis Socioeconómicos y Ambientales</x:v>
      </x:c>
      <x:c r="E5" s="276" t="str">
        <x:v>Apoyo a investigacion</x:v>
      </x:c>
      <x:c r="F5" s="276" t="str">
        <x:v>En curso</x:v>
      </x:c>
      <x:c r="G5" s="281" t="n">
        <x:v>-0.1681645569</x:v>
      </x:c>
      <x:c r="H5" s="281" t="n">
        <x:v>-78.5253708936</x:v>
      </x:c>
      <x:c r="I5" s="276" t="str">
        <x:v>El estudio analiza el riesgo territorial de la cuenca Rumipamba a partir de la cobertura y el uso del suelo. Combina levantamiento con UAV, procesamiento fotogramétrico, clasificación supervisada SVM, variables topográficas, hidrológicas y ambientales, e integración multicriterio mediante AHP. El documento disponible reporta cartografía de 0,20 m y un modelo que identifica sectores con distinta susceptibilidad, útil para planificación y prevención de impactos.</x:v>
      </x:c>
      <x:c r="J5" s="284"/>
    </x:row>
    <x:row r="6" ht="88" customHeight="1">
      <x:c r="A6" s="276" t="str">
        <x:v>Análisis espacial del almacenamiento de carbono orgánico en las turberas altoandinas del humedal Jatunhuayco, Área de Conservación Hídrica Antisana, Ecuador</x:v>
      </x:c>
      <x:c r="B6" s="276" t="str">
        <x:v>Gabriela Raquel Núñez Caiza</x:v>
      </x:c>
      <x:c r="C6" s="277" t="str">
        <x:v>2026</x:v>
      </x:c>
      <x:c r="D6" s="276" t="str">
        <x:v>Cambio climático y global</x:v>
      </x:c>
      <x:c r="E6" s="276" t="str">
        <x:v>Apoyo a investigacion</x:v>
      </x:c>
      <x:c r="F6" s="276" t="str">
        <x:v>En curso</x:v>
      </x:c>
      <x:c r="G6" s="281" t="n">
        <x:v>-0.480461</x:v>
      </x:c>
      <x:c r="H6" s="281" t="n">
        <x:v>-78.229146</x:v>
      </x:c>
      <x:c r="I6" s="276" t="str">
        <x:v>El trabajo evalúa el almacenamiento espacial de carbono orgánico en las turberas altoandinas del humedal Jatunhuayco, en el Área de Conservación Hídrica Antisana. Emplea muestreos georreferenciados de suelo, determinación de carbono orgánico y densidad aparente, y análisis cartográfico de su variación. El documento disponible reporta un almacenamiento medio de 232,48 Mg C ha⁻¹ en los primeros 20 cm y valores mayores en zonas más saturadas, como base para proteger y manejar el humedal.</x:v>
      </x:c>
      <x:c r="J6" s="284"/>
    </x:row>
    <x:row r="7" ht="88" customHeight="1">
      <x:c r="A7" s="276" t="str">
        <x:v>Caracterización y análisis de la composición de isotopos estables en ecosistemas fuentes de agua, dentro de áreas de interés hídrico, desde las que se abastece el Distrito Metropolitano de Quito, gestionadas por el FONAG</x:v>
      </x:c>
      <x:c r="B7" s="276" t="str">
        <x:v>Verónica Guamán (responsable FONAG/EPMAPS)</x:v>
      </x:c>
      <x:c r="C7" s="277" t="str">
        <x:v>2026</x:v>
      </x:c>
      <x:c r="D7" s="276" t="str">
        <x:v>Hidrología</x:v>
      </x:c>
      <x:c r="E7" s="276" t="str">
        <x:v>Apoyo a investigacion</x:v>
      </x:c>
      <x:c r="F7" s="276" t="str">
        <x:v>En curso</x:v>
      </x:c>
      <x:c r="G7" s="281" t="n">
        <x:v>-0.401728</x:v>
      </x:c>
      <x:c r="H7" s="281" t="n">
        <x:v>-78.311662</x:v>
      </x:c>
      <x:c r="I7" s="276" t="str">
        <x:v>El perfil busca caracterizar la composición de isótopos estables del agua, deuterio y oxígeno-18, en ecosistemas fuente gestionados por FONAG que abastecen al Distrito Metropolitano de Quito. Prevén muestrear precipitación y caudales en Antisana y Alto Pita y comparar sus firmas isotópicas. Se esperan una línea base isotópica, relaciones entre lluvia y escorrentía, y evidencia para interpretar el origen y la dinámica del agua.</x:v>
      </x:c>
      <x:c r="J7" s="284"/>
    </x:row>
    <x:row r="8" ht="88" customHeight="1">
      <x:c r="A8" s="276" t="str">
        <x:v>Determinación de la composición bacteriana del suelo y su relación con la sequía inducida, en el páramo del Volcán Antisana, Ecuador</x:v>
      </x:c>
      <x:c r="B8" s="276" t="str">
        <x:v>Andrii Caisabanda Tyshkovskyi</x:v>
      </x:c>
      <x:c r="C8" s="277" t="str">
        <x:v>2023</x:v>
      </x:c>
      <x:c r="D8" s="276" t="str">
        <x:v>Ecología de páramo</x:v>
      </x:c>
      <x:c r="E8" s="276" t="str">
        <x:v>Apoyo a investigacion</x:v>
      </x:c>
      <x:c r="F8" s="276" t="str">
        <x:v>En curso</x:v>
      </x:c>
      <x:c r="G8" s="281" t="n">
        <x:v>-0.495384</x:v>
      </x:c>
      <x:c r="H8" s="281" t="n">
        <x:v>-78.205438</x:v>
      </x:c>
      <x:c r="I8" s="276" t="str">
        <x:v>La investigación examina cómo una sequía inducida modifica la composición bacteriana del suelo en el páramo del volcán Antisana. Excluyó lluvia en parcelas durante cinco meses y comparó parcelas intervenidas y control mediante humedad, variables fisicoquímicas y secuenciación 16S para diversidad alfa y beta. El documento disponible registra que la exclusión redujo significativamente la humedad, pero no confirmó cambios significativos en la composición bacteriana durante el experimento.</x:v>
      </x:c>
      <x:c r="J8" s="284"/>
    </x:row>
    <x:row r="9" ht="88" customHeight="1">
      <x:c r="A9" s="276" t="str">
        <x:v>Dinámicas metabólicas en ríos altoandinos bajo condiciones hidrológicas contrastantes</x:v>
      </x:c>
      <x:c r="B9" s="276" t="str">
        <x:v>Paola Fuentes (responsable FONAG/EPMAPS)</x:v>
      </x:c>
      <x:c r="C9" s="277" t="str">
        <x:v>2026</x:v>
      </x:c>
      <x:c r="D9" s="276" t="str">
        <x:v>Hidrología</x:v>
      </x:c>
      <x:c r="E9" s="276" t="str">
        <x:v>Apoyo a investigacion</x:v>
      </x:c>
      <x:c r="F9" s="276" t="str">
        <x:v>En curso</x:v>
      </x:c>
      <x:c r="G9" s="281" t="n">
        <x:v>-0.394692</x:v>
      </x:c>
      <x:c r="H9" s="281" t="n">
        <x:v>-78.323841</x:v>
      </x:c>
      <x:c r="I9" s="276" t="str">
        <x:v>La necesidad de investigación plantea describir las dinámicas metabólicas de ríos altoandinos bajo condiciones hidrológicas contrastantes en el Área de Conservación Hídrica Antisana. Usará registros de alta frecuencia de oxígeno disuelto y dióxido de carbono en siete estaciones, junto con variables hidrometeorológicas, para calcular métricas de producción y respiración fluvial. Se espera una caracterización de su variabilidad estacional y una base para el monitoreo ecológico de los ríos.</x:v>
      </x:c>
      <x:c r="J9" s="284"/>
    </x:row>
    <x:row r="10" ht="88" customHeight="1">
      <x:c r="A10" s="276" t="str">
        <x:v>Diversidad funcional y patrones de actividad de mamíferos medianos y grandes en el Refugio de Vida Silvestre APH Ponce-Paluguillo, Pichincha-Ecuador</x:v>
      </x:c>
      <x:c r="B10" s="276" t="str">
        <x:v>Rachell Nayomi Fonseca Vinueza</x:v>
      </x:c>
      <x:c r="C10" s="277" t="str">
        <x:v>2024</x:v>
      </x:c>
      <x:c r="D10" s="276" t="str">
        <x:v>Ecología de páramo</x:v>
      </x:c>
      <x:c r="E10" s="276" t="str">
        <x:v>Apoyo a investigacion</x:v>
      </x:c>
      <x:c r="F10" s="276" t="str">
        <x:v>En curso</x:v>
      </x:c>
      <x:c r="G10" s="281" t="n">
        <x:v>-0.310089</x:v>
      </x:c>
      <x:c r="H10" s="281" t="n">
        <x:v>-78.234808</x:v>
      </x:c>
      <x:c r="I10" s="276" t="str">
        <x:v>El estudio caracteriza la diversidad funcional y los patrones de actividad de mamíferos medianos y grandes en el Refugio de Vida Silvestre APH Ponce-Paluguillo. Emplea una red de cámaras trampa y analiza registros de presencia, actividad y hábitat por especie. El archivo disponible reporta 12 especies identificadas durante el monitoreo de 2020 a 2024, con el conejo andino como la más frecuente y registros continuos de perro doméstico; estos datos apoyan el seguimiento y la conservación del refugio.</x:v>
      </x:c>
      <x:c r="J10" s="284"/>
    </x:row>
    <x:row r="11" ht="88" customHeight="1">
      <x:c r="A11" s="276" t="str">
        <x:v>El legado de Humboldt en su viaje por Ecuador desde redes subterráneas: mapeo de comunidades de hongos micorrízicos</x:v>
      </x:c>
      <x:c r="B11" s="276" t="str">
        <x:v>Jessica Duchicela</x:v>
      </x:c>
      <x:c r="C11" s="277" t="str">
        <x:v>2025</x:v>
      </x:c>
      <x:c r="D11" s="276" t="str">
        <x:v>Ecología de páramo</x:v>
      </x:c>
      <x:c r="E11" s="276" t="str">
        <x:v>Apoyo a investigacion</x:v>
      </x:c>
      <x:c r="F11" s="276" t="str">
        <x:v>En curso</x:v>
      </x:c>
      <x:c r="G11" s="281" t="n">
        <x:v>-0.871322</x:v>
      </x:c>
      <x:c r="H11" s="281" t="n">
        <x:v>-78.548681</x:v>
      </x:c>
      <x:c r="I11" s="276" t="str">
        <x:v>La nota conceptual propone mapear comunidades de hongos micorrízicos del suelo a lo largo de un gradiente altoandino entre Chimborazo, Antisana y Pichincha, siguiendo las rutas históricas de Humboldt. Prevén muestreo estandarizado de suelos por altitud y análisis de ADN de hongos micorrízicos arbusculares y ectomicorrízicos. Los productos esperados son mapas de distribución, una línea base de biodiversidad subterránea y evidencia para la conservación y restauración de ecosistemas altoandinos.</x:v>
      </x:c>
      <x:c r="J11" s="284"/>
    </x:row>
    <x:row r="12" ht="88" customHeight="1">
      <x:c r="A12" s="276" t="str">
        <x:v>Evaluación de la variabilidad espacio temporal del índice de calidad del agua (ISQA) de los ríos Antisana y Jatunhuayco ubicados en el páramo del Antisana pertenecientes al proyecto La Mica-Quito Sur en el año 2025</x:v>
      </x:c>
      <x:c r="B12" s="276" t="str">
        <x:v>Roberto Antonio Tarabata Andrango</x:v>
      </x:c>
      <x:c r="C12" s="277" t="str">
        <x:v>2025</x:v>
      </x:c>
      <x:c r="D12" s="276" t="str">
        <x:v>Hidrología</x:v>
      </x:c>
      <x:c r="E12" s="276" t="str">
        <x:v>Apoyo a investigacion</x:v>
      </x:c>
      <x:c r="F12" s="276" t="str">
        <x:v>En curso</x:v>
      </x:c>
      <x:c r="G12" s="281" t="n">
        <x:v>-0.483109</x:v>
      </x:c>
      <x:c r="H12" s="281" t="n">
        <x:v>-78.230424</x:v>
      </x:c>
      <x:c r="I12" s="276" t="str">
        <x:v>El plan de titulación busca evaluar la variabilidad espacial y temporal del índice de calidad del agua ISQA en los ríos Antisana y Jatunhuayco, del sistema La Mica-Quito Sur, durante 2025. Propone campañas de tres meses para medir parámetros físicos y químicos, calcular el índice y comparar sitios y fechas. Se esperan valores de ISQA, un diagnóstico de variabilidad y una línea base para el seguimiento y manejo de estas fuentes de agua.</x:v>
      </x:c>
      <x:c r="J12" s="284"/>
    </x:row>
    <x:row r="13" ht="88" customHeight="1">
      <x:c r="A13" s="276" t="str">
        <x:v>Modelación de la dinámica térmica y del oxígeno disuelto en el embalse de Páramo Salve Faccha mediante CE-QUAL-W2</x:v>
      </x:c>
      <x:c r="B13" s="276" t="str">
        <x:v>Ana Lizeth Juma Anrango; Camila Johanna Muñoz Arroba</x:v>
      </x:c>
      <x:c r="C13" s="277" t="str">
        <x:v>2025</x:v>
      </x:c>
      <x:c r="D13" s="276" t="str">
        <x:v>Manejo de embalses</x:v>
      </x:c>
      <x:c r="E13" s="276" t="str">
        <x:v>Apoyo a investigacion</x:v>
      </x:c>
      <x:c r="F13" s="276" t="str">
        <x:v>En curso</x:v>
      </x:c>
      <x:c r="G13" s="281" t="n">
        <x:v>-0.230342</x:v>
      </x:c>
      <x:c r="H13" s="281" t="n">
        <x:v>-78.152424</x:v>
      </x:c>
      <x:c r="I13" s="276" t="str">
        <x:v>El perfil plantea modelar la dinámica térmica y del oxígeno disuelto del embalse Salve Faccha con CE-QUAL-W2. Integrará información meteorológica, hidrológica, morfométrica y de calidad de agua, y prevé calibrar y validar el modelo con indicadores como RMSE, MAE y R². El producto esperado es una simulación de perfiles y variaciones espacio-temporales de temperatura y oxígeno para identificar condiciones críticas de gestión del embalse.</x:v>
      </x:c>
      <x:c r="J13" s="284"/>
    </x:row>
    <x:row r="14" ht="88" customHeight="1">
      <x:c r="A14" s="276" t="str">
        <x:v>Modelización del balance hídrico en la cuenca hidrográfica Jatunhuayco de la laguna La Mica, a fin de establecer una propuesta de gestión integrada para la conservación hidrográfica</x:v>
      </x:c>
      <x:c r="B14" s="276" t="str">
        <x:v>Erika Tatiana Guzmán Cuascota; Diego David Usiña Freire</x:v>
      </x:c>
      <x:c r="C14" s="277" t="str">
        <x:v>2025</x:v>
      </x:c>
      <x:c r="D14" s="276" t="str">
        <x:v>Hidrología</x:v>
      </x:c>
      <x:c r="E14" s="276" t="str">
        <x:v>Apoyo a investigacion</x:v>
      </x:c>
      <x:c r="F14" s="276" t="str">
        <x:v>En curso</x:v>
      </x:c>
      <x:c r="G14" s="281" t="n">
        <x:v>-0.483445</x:v>
      </x:c>
      <x:c r="H14" s="281" t="n">
        <x:v>-78.235714</x:v>
      </x:c>
      <x:c r="I14" s="276" t="str">
        <x:v>El avance propone modelar el balance hídrico de la cuenca Jatunhuayco y la laguna La Mica para sustentar una gestión integrada de conservación. Reunirá datos de precipitación, caudales, evapotranspiración, almacenamiento y cobertura, con análisis espacial y herramientas como Google Earth Engine. Se esperan estimaciones de disponibilidad y déficit, identificación de componentes críticos y una propuesta de manejo para conservar la función hidrográfica de la cuenca.</x:v>
      </x:c>
      <x:c r="J14" s="284"/>
    </x:row>
    <x:row r="15" ht="88" customHeight="1">
      <x:c r="A15" s="276" t="str">
        <x:v>Modelo hidrológico de validación de la representatividad de cobertura de estaciones hidrometeorológicas en las fuentes de abastecimiento del embalse La Mica-Quito Sur</x:v>
      </x:c>
      <x:c r="B15" s="276" t="str">
        <x:v>Carlos Andrés Ramos Durán</x:v>
      </x:c>
      <x:c r="C15" s="277" t="str">
        <x:v>2025</x:v>
      </x:c>
      <x:c r="D15" s="276" t="str">
        <x:v>Hidrología</x:v>
      </x:c>
      <x:c r="E15" s="276" t="str">
        <x:v>Apoyo a investigacion</x:v>
      </x:c>
      <x:c r="F15" s="276" t="str">
        <x:v>En curso</x:v>
      </x:c>
      <x:c r="G15" s="281" t="n">
        <x:v>-0.539739</x:v>
      </x:c>
      <x:c r="H15" s="281" t="n">
        <x:v>-78.225229</x:v>
      </x:c>
      <x:c r="I15" s="276" t="str">
        <x:v>El plan propone validar si la cobertura de estaciones hidrometeorológicas representa adecuadamente las fuentes de abastecimiento del embalse La Mica-Quito Sur. Considera control y completado de series, análisis exploratorio, interpolación Kriging e IDW, y contraste con limnimetría y aforos de campo en Antisana y Jatunhuaycu. Se esperan mapas de representatividad, evaluación de incertidumbre y recomendaciones para mejorar la red y los insumos de modelación hidrológica.</x:v>
      </x:c>
      <x:c r="J15" s="284"/>
    </x:row>
    <x:row r="16" ht="88" customHeight="1">
      <x:c r="A16" s="276" t="str">
        <x:v>A kernel-based strategy to design Convolutional Neural Network Architecture for learning spatial and temporal representation of weather variables</x:v>
      </x:c>
      <x:c r="B16" s="276" t="str">
        <x:v>Juan Fernando González Vergara</x:v>
      </x:c>
      <x:c r="C16" s="277" t="str">
        <x:v>2021</x:v>
      </x:c>
      <x:c r="D16" s="276" t="str">
        <x:v>Cambio climático y global</x:v>
      </x:c>
      <x:c r="E16" s="276" t="str">
        <x:v>Apoyo a investigacion</x:v>
      </x:c>
      <x:c r="F16" s="276" t="str">
        <x:v>Finalizado</x:v>
      </x:c>
      <x:c r="G16" s="281" t="n">
        <x:v>-0.205461</x:v>
      </x:c>
      <x:c r="H16" s="281" t="n">
        <x:v>-78.495872</x:v>
      </x:c>
      <x:c r="I16" s="276" t="str">
        <x:v>El artículo desarrolló una estrategia basada en kernels para diseñar arquitecturas de redes neuronales convolucionales que aprendan representaciones espaciales y temporales de variables meteorológicas. Usó datos de dos estaciones, análisis de correlación, PCA y RReliefF, y comparó SVM, CNN y LSTM en clasificación, regresión y pronóstico inmediato. RReliefF superó a PCA para seleccionar variables, aunque el conjunto completo estandarizado produjo los mejores desempeños de predicción.</x:v>
      </x:c>
      <x:c r="J16" s="284"/>
    </x:row>
    <x:row r="17" ht="88" customHeight="1">
      <x:c r="A17" s="276" t="str">
        <x:v>Análisis de diferentes medios y condiciones de cultivo en la composición del fitoplancton, con énfasis en cianobacterias</x:v>
      </x:c>
      <x:c r="B17" s="276" t="str">
        <x:v>Ana Gabriela Ortega Montero</x:v>
      </x:c>
      <x:c r="C17" s="277" t="str">
        <x:v>2024</x:v>
      </x:c>
      <x:c r="D17" s="276" t="str">
        <x:v>Ecología de páramo</x:v>
      </x:c>
      <x:c r="E17" s="276" t="str">
        <x:v>Apoyo a investigacion</x:v>
      </x:c>
      <x:c r="F17" s="276" t="str">
        <x:v>Finalizado</x:v>
      </x:c>
      <x:c r="G17" s="281" t="n">
        <x:v>-0.181659</x:v>
      </x:c>
      <x:c r="H17" s="281" t="n">
        <x:v>-78.484579</x:v>
      </x:c>
      <x:c r="I17" s="276" t="str">
        <x:v>El trabajo evaluó cómo diferentes medios y condiciones de cultivo modifican la composición del fitoplancton, con énfasis en cianobacterias. Ensayó BG11 y BG110 en presentaciones líquida, sólida y semisólida, bajo distintas condiciones de incubación, e identificó los géneros desarrollados. En BG11 sólido y semisólido se registraron 11 géneros, mientras que BG110, sin nitrógeno, no favoreció el crecimiento esperado; los resultados orientan el aislamiento y monitoreo del fitoplancton.</x:v>
      </x:c>
      <x:c r="J17" s="284"/>
    </x:row>
    <x:row r="18" ht="88" customHeight="1">
      <x:c r="A18" s="276" t="str">
        <x:v>Análisis de la concentración y distribución espacial de parámetros físicos en el embalse Salve Faccha</x:v>
      </x:c>
      <x:c r="B18" s="276" t="str">
        <x:v>Edison Javier Jácome Alarcón; Karen Elisa Velásquez Moreta</x:v>
      </x:c>
      <x:c r="C18" s="277" t="str">
        <x:v>2018</x:v>
      </x:c>
      <x:c r="D18" s="276" t="str">
        <x:v>Manejo de embalses</x:v>
      </x:c>
      <x:c r="E18" s="276" t="str">
        <x:v>Apoyo a investigacion</x:v>
      </x:c>
      <x:c r="F18" s="276" t="str">
        <x:v>Finalizado</x:v>
      </x:c>
      <x:c r="G18" s="281" t="n">
        <x:v>-0.2326333</x:v>
      </x:c>
      <x:c r="H18" s="281" t="n">
        <x:v>-78.1568</x:v>
      </x:c>
      <x:c r="I18" s="276" t="str">
        <x:v>El trabajo analizó la concentración y distribución espacial de parámetros físicos en el embalse Salve Faccha con registros de 2002 a 2016 y campañas de campo. Procesó temperatura, oxígeno disuelto, conductividad, sólidos, pH y turbidez mediante perfiles, isolíneas y representaciones tridimensionales. Identificó un comportamiento térmico cíclico, periodos de mayor calentamiento y estratificación, y condiciones de bajo oxígeno en profundidad asociadas al consumo de oxígeno.</x:v>
      </x:c>
      <x:c r="J18" s="284"/>
    </x:row>
    <x:row r="19" ht="88" customHeight="1">
      <x:c r="A19" s="276" t="str">
        <x:v>Análisis de las variaciones morfométricas y batimétricas del embalse La Mica para el período 2007-2018</x:v>
      </x:c>
      <x:c r="B19" s="276" t="str">
        <x:v>Andrés Felipe Jordán Carrión; Dayanna Lissette López Armijos</x:v>
      </x:c>
      <x:c r="C19" s="277" t="str">
        <x:v>2019</x:v>
      </x:c>
      <x:c r="D19" s="276" t="str">
        <x:v>Manejo de embalses</x:v>
      </x:c>
      <x:c r="E19" s="276" t="str">
        <x:v>Apoyo a investigacion</x:v>
      </x:c>
      <x:c r="F19" s="276" t="str">
        <x:v>Finalizado</x:v>
      </x:c>
      <x:c r="G19" s="281" t="n">
        <x:v>-0.544107</x:v>
      </x:c>
      <x:c r="H19" s="281" t="n">
        <x:v>-78.227424</x:v>
      </x:c>
      <x:c r="I19" s="276" t="str">
        <x:v>El estudio comparó la morfometría y batimetría del embalse La Mica entre 2007 y 2018. Levantó datos de profundidad, generó mapas y curvas nivel-volumen, y contrastó los interpoladores vecino natural y TIN para representar el fondo. Actualizó los parámetros físicos del embalse y encontró errores medios cuadrados muy cercanos en ambos métodos, aportando información para la operación, el seguimiento y la evaluación trófica.</x:v>
      </x:c>
      <x:c r="J19" s="284"/>
    </x:row>
    <x:row r="20" ht="88" customHeight="1">
      <x:c r="A20" s="276" t="str">
        <x:v>Análisis in vitro del crecimiento de microalgas del fitoplancton en diferentes medios de cultivo y condiciones de incubación</x:v>
      </x:c>
      <x:c r="B20" s="276" t="str">
        <x:v>Cecilia Coralía Núñez Alberca</x:v>
      </x:c>
      <x:c r="C20" s="277" t="str">
        <x:v>2024</x:v>
      </x:c>
      <x:c r="D20" s="276" t="str">
        <x:v>Ecología de páramo</x:v>
      </x:c>
      <x:c r="E20" s="276" t="str">
        <x:v>Apoyo a investigacion</x:v>
      </x:c>
      <x:c r="F20" s="276" t="str">
        <x:v>Finalizado</x:v>
      </x:c>
      <x:c r="G20" s="281" t="n">
        <x:v>-0.180822</x:v>
      </x:c>
      <x:c r="H20" s="281" t="n">
        <x:v>-78.482612</x:v>
      </x:c>
      <x:c r="I20" s="276" t="str">
        <x:v>El estudio analizó el crecimiento in vitro de microalgas del fitoplancton bajo diferentes medios y condiciones de incubación. Comparó BBM y Nitrofoska, fotoperiodos, rangos de pH y presencia de aireación, evaluando los taxones cultivados. El medio BBM, pH de 7 a 9, fotoperiodo 18:6 y aireación favorecieron el crecimiento, y se distinguieron microorganismos más resistentes para seleccionar condiciones de cultivo y apoyar el monitoreo de embalses.</x:v>
      </x:c>
      <x:c r="J20" s="284"/>
    </x:row>
    <x:row r="21" ht="88" customHeight="1">
      <x:c r="A21" s="276" t="str">
        <x:v>Análisis probabilístico de la variabilidad espacio-temporal del humedal Pugllohuma utilizando imágenes radar de apertura sintética de la misión Sentinel-1</x:v>
      </x:c>
      <x:c r="B21" s="276" t="str">
        <x:v>Paul David Carchipulla Morales</x:v>
      </x:c>
      <x:c r="C21" s="277" t="str">
        <x:v>2020</x:v>
      </x:c>
      <x:c r="D21" s="276" t="str">
        <x:v>Ecología de páramo</x:v>
      </x:c>
      <x:c r="E21" s="276" t="str">
        <x:v>Apoyo a investigacion</x:v>
      </x:c>
      <x:c r="F21" s="276" t="str">
        <x:v>Finalizado</x:v>
      </x:c>
      <x:c r="G21" s="281" t="n">
        <x:v>-0.502223</x:v>
      </x:c>
      <x:c r="H21" s="281" t="n">
        <x:v>-78.214027</x:v>
      </x:c>
      <x:c r="I21" s="276" t="str">
        <x:v>El trabajo analizó la variabilidad espacio-temporal del humedal Pugllohuma mediante imágenes radar Sentinel-1 y modelos probabilísticos. Integró información SAR con variables topográficas y climáticas para estimar condiciones de saturación y evaluar sus controladores. La variación temporal se relacionó principalmente con el día del año, la temperatura y la precipitación, mientras la elevación explicó la distribución espacial; otras variables atmosféricas mejoraron la capacidad predictiva.</x:v>
      </x:c>
      <x:c r="J21" s="284"/>
    </x:row>
    <x:row r="22" ht="88" customHeight="1">
      <x:c r="A22" s="276" t="str">
        <x:v>Application of Neural Network Models and ANFIS for Water Level Forecasting of the Salve Faccha Dam in the Andean Zone in Northern Ecuador</x:v>
      </x:c>
      <x:c r="B22" s="276" t="str">
        <x:v>Pablo Páliz Larrea; Xavier Zapata-Ríos; Lenin Campozano Parra</x:v>
      </x:c>
      <x:c r="C22" s="277" t="str">
        <x:v>2021</x:v>
      </x:c>
      <x:c r="D22" s="276" t="str">
        <x:v>Manejo de embalses</x:v>
      </x:c>
      <x:c r="E22" s="276" t="str">
        <x:v>Apoyo a investigacion</x:v>
      </x:c>
      <x:c r="F22" s="276" t="str">
        <x:v>Finalizado</x:v>
      </x:c>
      <x:c r="G22" s="281" t="n">
        <x:v>-0.231683</x:v>
      </x:c>
      <x:c r="H22" s="281" t="n">
        <x:v>-78.155398</x:v>
      </x:c>
      <x:c r="I22" s="276" t="str">
        <x:v>El artículo evaluó redes neuronales y ANFIS para pronosticar el nivel diario del embalse Salve Faccha. Probó horizontes de uno a seis días, selección de variables, retardos temporales y configuraciones de los modelos con datos hidrometeorológicos. La red neuronal mostró buen desempeño con hasta 13 retardos y menos de 30 nodos, mientras ANFIS obtuvo resultados comparables hasta cuatro días de anticipación.</x:v>
      </x:c>
      <x:c r="J22" s="284"/>
    </x:row>
    <x:row r="23" ht="88" customHeight="1">
      <x:c r="A23" s="276" t="str">
        <x:v>Calibración de sensores de humedad del suelo con validación de campo: calibración sensor de humedad de suelo M5028</x:v>
      </x:c>
      <x:c r="B23" s="276" t="str">
        <x:v>Sebastián Ramiro Proaño Ordóñez</x:v>
      </x:c>
      <x:c r="C23" s="277" t="str">
        <x:v>2024</x:v>
      </x:c>
      <x:c r="D23" s="276" t="str">
        <x:v>Hidrología</x:v>
      </x:c>
      <x:c r="E23" s="276" t="str">
        <x:v>Apoyo a investigacion</x:v>
      </x:c>
      <x:c r="F23" s="276" t="str">
        <x:v>Finalizado</x:v>
      </x:c>
      <x:c r="G23" s="281" t="n">
        <x:v>-0.483309</x:v>
      </x:c>
      <x:c r="H23" s="281" t="n">
        <x:v>-78.390714</x:v>
      </x:c>
      <x:c r="I23" s="276" t="str">
        <x:v>El estudio calibró el sensor de humedad de suelo M5028 y validó su desempeño en campo. Caracterizó el suelo en laboratorio, relacionó contenido volumétrico de agua y permitividad eléctrica, y comparó la curva resultante con datos históricos de la estación. La ecuación de calibración concordó con las mediciones de laboratorio y campo, por lo que puede sustituir la ecuación de Topp, que subestimó el contenido volumétrico de agua en esa estación.</x:v>
      </x:c>
      <x:c r="J23" s="284"/>
    </x:row>
    <x:row r="24" ht="88" customHeight="1">
      <x:c r="A24" s="276" t="str">
        <x:v>Caracterización de parámetros morfológicos y germinativos de semillas de Calceolaria crenata Lam. en Bosques Andinos del Ecuador</x:v>
      </x:c>
      <x:c r="B24" s="276" t="str">
        <x:v>Sophia Alejandra Polit Ramos</x:v>
      </x:c>
      <x:c r="C24" s="277" t="str">
        <x:v>2025</x:v>
      </x:c>
      <x:c r="D24" s="276" t="str">
        <x:v>Restauración de la cobertura vegetal</x:v>
      </x:c>
      <x:c r="E24" s="276" t="str">
        <x:v>Apoyo a investigacion</x:v>
      </x:c>
      <x:c r="F24" s="276" t="str">
        <x:v>Finalizado</x:v>
      </x:c>
      <x:c r="G24" s="281" t="n">
        <x:v>-0.3068333333</x:v>
      </x:c>
      <x:c r="H24" s="281" t="n">
        <x:v>-78.23225</x:v>
      </x:c>
      <x:c r="I24" s="276" t="str">
        <x:v>El estudio caracterizó parámetros morfológicos y germinativos de semillas de Calceolaria crenata recolectadas en el Área de Protección Hídrica Ponce Paluguillo. Midió atributos de frutos y semillas y aplicó pruebas de viabilidad con tetrazolio, desinfección y germinación in vitro. La viabilidad más alta alcanzó 94 %, y el tratamiento con ácido giberélico, 25 °C y fotoperiodo 16:8 logró 29,62 % de germinación, con insumos para conservación en banco de semillas.</x:v>
      </x:c>
      <x:c r="J24" s="284"/>
    </x:row>
    <x:row r="25" ht="88" customHeight="1">
      <x:c r="A25" s="276" t="str">
        <x:v>Caracterización de parámetros morfológicos y germinativos de semillas de Solanum colombianum Dunal en Bosques Andinos del Ecuador</x:v>
      </x:c>
      <x:c r="B25" s="276" t="str">
        <x:v>Heidy Leonela Haro Pilco</x:v>
      </x:c>
      <x:c r="C25" s="277" t="str">
        <x:v>2025</x:v>
      </x:c>
      <x:c r="D25" s="276" t="str">
        <x:v>Restauración de la cobertura vegetal</x:v>
      </x:c>
      <x:c r="E25" s="276" t="str">
        <x:v>Apoyo a investigacion</x:v>
      </x:c>
      <x:c r="F25" s="276" t="str">
        <x:v>Finalizado</x:v>
      </x:c>
      <x:c r="G25" s="281" t="n">
        <x:v>-0.308154</x:v>
      </x:c>
      <x:c r="H25" s="281" t="n">
        <x:v>-78.231735</x:v>
      </x:c>
      <x:c r="I25" s="276" t="str">
        <x:v>El estudio caracterizó semillas de Solanum colombianum de bosques andinos del Ecuador para apoyar su conservación y propagación. Evaluó frutos y semillas con mediciones morfológicas, pruebas de viabilidad con tetrazolio, desinfección y ensayos de germinación in vitro. Documentó los atributos de las semillas y su respuesta a los tratamientos, generando una base para bancos de germoplasma, propagación y posteriores acciones de restauración.</x:v>
      </x:c>
      <x:c r="J25" s="284"/>
    </x:row>
    <x:row r="26" ht="88" customHeight="1">
      <x:c r="A26" s="276" t="str">
        <x:v>Caracterización de principios activos del género Hypochaeris mediante técnicas analíticas en Bosques Andinos del Ecuador</x:v>
      </x:c>
      <x:c r="B26" s="276" t="str">
        <x:v>Louisana Del Pilar Paillacho Duque</x:v>
      </x:c>
      <x:c r="C26" s="277" t="str">
        <x:v>2025</x:v>
      </x:c>
      <x:c r="D26" s="276" t="str">
        <x:v>Ecología de páramo</x:v>
      </x:c>
      <x:c r="E26" s="276" t="str">
        <x:v>Apoyo a investigacion</x:v>
      </x:c>
      <x:c r="F26" s="276" t="str">
        <x:v>Finalizado</x:v>
      </x:c>
      <x:c r="G26" s="281" t="n">
        <x:v>-0.3063512611</x:v>
      </x:c>
      <x:c r="H26" s="281" t="n">
        <x:v>-78.23156235</x:v>
      </x:c>
      <x:c r="I26" s="276" t="str">
        <x:v>El estudio caracterizó principios activos de Hypochaeris en bosques andinos del Ecuador a partir de raíces, hojas y flores de H. sessiliflora recolectada en Ponce Paluguillo. Aplicó maceración con distintos solventes, cromatografía en capa fina y reacciones colorimétricas. El etanol al 99,5 % mostró el mejor desempeño de extracción y se registraron bandas asociadas a diversos metabolitos; se recomiendan técnicas instrumentales complementarias para confirmar la identidad de los compuestos.</x:v>
      </x:c>
      <x:c r="J26" s="284"/>
    </x:row>
    <x:row r="27" ht="88" customHeight="1">
      <x:c r="A27" s="276" t="str">
        <x:v>Caracterización de principios activos del género Polylepis mediante técnicas analíticas en Bosques Andinos del Ecuador</x:v>
      </x:c>
      <x:c r="B27" s="276" t="str">
        <x:v>Luis Esteban Cuichan Cuichan</x:v>
      </x:c>
      <x:c r="C27" s="277" t="str">
        <x:v>2025</x:v>
      </x:c>
      <x:c r="D27" s="276" t="str">
        <x:v>Ecología de páramo</x:v>
      </x:c>
      <x:c r="E27" s="276" t="str">
        <x:v>Apoyo a investigacion</x:v>
      </x:c>
      <x:c r="F27" s="276" t="str">
        <x:v>Finalizado</x:v>
      </x:c>
      <x:c r="G27" s="281" t="n">
        <x:v>-0.308726</x:v>
      </x:c>
      <x:c r="H27" s="281" t="n">
        <x:v>-78.232961</x:v>
      </x:c>
      <x:c r="I27" s="276" t="str">
        <x:v>El estudio caracterizó principios activos de Polylepis en bosques andinos a partir de material recolectado en Ponce Paluguillo. Realizó extracción por maceración y separación mediante cromatografía en capa fina, complementada con reveladores para reconocer grupos de metabolitos. El extracto etanólico produjo señales útiles para diferenciar compuestos y la cromatografía separó fracciones; se recomiendan análisis instrumentales posteriores para confirmar su identidad.</x:v>
      </x:c>
      <x:c r="J27" s="284"/>
    </x:row>
    <x:row r="28" ht="88" customHeight="1">
      <x:c r="A28" s="276" t="str">
        <x:v>Caracterización fenotípica de microalgas y cianobacterias del fitoplancton de los embalses Succus y Mogotes</x:v>
      </x:c>
      <x:c r="B28" s="276" t="str">
        <x:v>Johana Elizabeth Tipanta Betancourt</x:v>
      </x:c>
      <x:c r="C28" s="277" t="str">
        <x:v>2022</x:v>
      </x:c>
      <x:c r="D28" s="276" t="str">
        <x:v>Manejo de embalses</x:v>
      </x:c>
      <x:c r="E28" s="276" t="str">
        <x:v>Apoyo a investigacion</x:v>
      </x:c>
      <x:c r="F28" s="276" t="str">
        <x:v>Finalizado</x:v>
      </x:c>
      <x:c r="G28" s="281" t="n">
        <x:v>-0.258947</x:v>
      </x:c>
      <x:c r="H28" s="281" t="n">
        <x:v>-78.149738</x:v>
      </x:c>
      <x:c r="I28" s="276" t="str">
        <x:v>El estudio caracterizó fenotípicamente el fitoplancton de los embalses Succus y Mogotes durante una temporada seca, ambos fuentes de agua para el Distrito Metropolitano de Quito. Realizó muestreos puntuales y estratificados, identificación microscópica y análisis de bioindicadores de estado trófico. Registró 30 taxones en Succus y 39 en Mogotes, dejando una línea base de biodiversidad y monitoreo; recomienda campañas de al menos seis meses para evaluar abundancia, dominancia y migración.</x:v>
      </x:c>
      <x:c r="J28" s="284"/>
    </x:row>
    <x:row r="29" ht="88" customHeight="1">
      <x:c r="A29" s="276" t="str">
        <x:v>Caracterización fenotípica de microalgas y cianobacterias del perifiton de los ríos aportantes del embalse altoandino Mogotes (Parque Nacional Cayambe-Coca), Ecuador</x:v>
      </x:c>
      <x:c r="B29" s="276" t="str">
        <x:v>Emilio Rafael Jarre Saltos</x:v>
      </x:c>
      <x:c r="C29" s="277" t="str">
        <x:v>2022</x:v>
      </x:c>
      <x:c r="D29" s="276" t="str">
        <x:v>Manejo de embalses</x:v>
      </x:c>
      <x:c r="E29" s="276" t="str">
        <x:v>Apoyo a investigacion</x:v>
      </x:c>
      <x:c r="F29" s="276" t="str">
        <x:v>Finalizado</x:v>
      </x:c>
      <x:c r="G29" s="281" t="n">
        <x:v>-0.276449</x:v>
      </x:c>
      <x:c r="H29" s="281" t="n">
        <x:v>-78.141773</x:v>
      </x:c>
      <x:c r="I29" s="276" t="str">
        <x:v>El trabajo caracterizó microalgas y cianobacterias del perifiton de ríos aportantes al embalse altoandino Mogotes, en el Parque Nacional Cayambe-Coca. Aplicó muestreo de perifiton, identificación microscópica y análisis de estos organismos como indicadores de condición trófica. Produjo un inventario de taxones y rasgos ecológicos asociados, útil como línea base para vigilar la calidad del agua, y recomienda ampliar el monitoreo temporal para captar la variabilidad de las comunidades.</x:v>
      </x:c>
      <x:c r="J29" s="284"/>
    </x:row>
    <x:row r="30" ht="88" customHeight="1">
      <x:c r="A30" s="276" t="str">
        <x:v>Caracterización fenotípica de microalgas y cianobacterias del perifiton de los ríos aportantes del embalse Succus</x:v>
      </x:c>
      <x:c r="B30" s="276" t="str">
        <x:v>Kimberly Elizabeth Guapi Albán</x:v>
      </x:c>
      <x:c r="C30" s="277" t="str">
        <x:v>2022</x:v>
      </x:c>
      <x:c r="D30" s="276" t="str">
        <x:v>Manejo de embalses</x:v>
      </x:c>
      <x:c r="E30" s="276" t="str">
        <x:v>Apoyo a investigacion</x:v>
      </x:c>
      <x:c r="F30" s="276" t="str">
        <x:v>Finalizado</x:v>
      </x:c>
      <x:c r="G30" s="281" t="n">
        <x:v>-0.243613</x:v>
      </x:c>
      <x:c r="H30" s="281" t="n">
        <x:v>-78.160842</x:v>
      </x:c>
      <x:c r="I30" s="276" t="str">
        <x:v>El trabajo caracterizó microalgas y cianobacterias del perifiton de ríos aportantes al embalse Succus mediante muestreos y observación microscópica, relacionando los taxones con el estado trófico. Identificó rasgos funcionales de adhesión, producción de mucílago y fijación de nitrógeno; 53,85 % de los taxones presentó al menos una de estas adaptaciones. El estudio generó una línea base de bioindicadores y recomendó ampliar el monitoreo para interpretar la dinámica del embalse.</x:v>
      </x:c>
      <x:c r="J30" s="284"/>
    </x:row>
    <x:row r="31" ht="88" customHeight="1">
      <x:c r="A31" s="276" t="str">
        <x:v>Caracterización hidrogeológica con determinación de la conductividad hidráulica del humedal Pugllohuma</x:v>
      </x:c>
      <x:c r="B31" s="276" t="str">
        <x:v>Myriam Nathaly Yugsi Zambrano</x:v>
      </x:c>
      <x:c r="C31" s="277" t="str">
        <x:v>2018</x:v>
      </x:c>
      <x:c r="D31" s="276" t="str">
        <x:v>Hidrogeología</x:v>
      </x:c>
      <x:c r="E31" s="276" t="str">
        <x:v>Apoyo a investigacion</x:v>
      </x:c>
      <x:c r="F31" s="276" t="str">
        <x:v>Finalizado</x:v>
      </x:c>
      <x:c r="G31" s="281" t="n">
        <x:v>-0.5020345628</x:v>
      </x:c>
      <x:c r="H31" s="281" t="n">
        <x:v>-78.2144601625</x:v>
      </x:c>
      <x:c r="I31" s="276" t="str">
        <x:v>El estudio caracterizó hidrogeológicamente el humedal Pugllohuma, en la Reserva Hídrica Antisana, y estimó su almacenamiento de agua y conductividad hidráulica. Integró datos de estaciones FONAG, EPMAPS e INAMHI, cartografía geológica, balance hídrico y ensayos de infiltración de doble anillo. Determinó una precipitación media anual de 752,6 mm, morfología casi plana y escurrimiento lento que favorece la infiltración, resultados que respaldan su conservación y restauración.</x:v>
      </x:c>
      <x:c r="J31" s="284"/>
    </x:row>
    <x:row r="32" ht="88" customHeight="1">
      <x:c r="A32" s="276" t="str">
        <x:v>Caracterización hidrogeológica de las microcuencas 1, 2 y 3 de la unidad hídrica Jatunhuaycu</x:v>
      </x:c>
      <x:c r="B32" s="276" t="str">
        <x:v>Henry Santiago Játiva Varela</x:v>
      </x:c>
      <x:c r="C32" s="277" t="str">
        <x:v>2018</x:v>
      </x:c>
      <x:c r="D32" s="276" t="str">
        <x:v>Hidrogeología</x:v>
      </x:c>
      <x:c r="E32" s="276" t="str">
        <x:v>Apoyo a investigacion</x:v>
      </x:c>
      <x:c r="F32" s="276" t="str">
        <x:v>Finalizado</x:v>
      </x:c>
      <x:c r="G32" s="281" t="n">
        <x:v>-0.4666296808</x:v>
      </x:c>
      <x:c r="H32" s="281" t="n">
        <x:v>-78.2318225486</x:v>
      </x:c>
      <x:c r="I32" s="276" t="str">
        <x:v>El estudio caracterizó hidrogeológicamente las microcuencas 1, 2 y 3 de la unidad hídrica Jatunhuaycu. Integró cartografía geológica, inventario de puntos de agua, datos meteorológicos e hidrológicos, análisis físico-químicos y balance hídrico para construir un modelo conceptual. Identificó zonas de recarga y descarga y estimó condiciones de funcionamiento de las microcuencas, generando una base técnica para su manejo y conservación.</x:v>
      </x:c>
      <x:c r="J32" s="284"/>
    </x:row>
    <x:row r="33" ht="88" customHeight="1">
      <x:c r="A33" s="276" t="str">
        <x:v>Caracterización hidrogeológica en el área de conservación hídrica Ponce Paluguillo</x:v>
      </x:c>
      <x:c r="B33" s="276" t="str">
        <x:v>Hernán Michael Núñez Zambrano</x:v>
      </x:c>
      <x:c r="C33" s="277" t="str">
        <x:v>2019</x:v>
      </x:c>
      <x:c r="D33" s="276" t="str">
        <x:v>Hidrogeología</x:v>
      </x:c>
      <x:c r="E33" s="276" t="str">
        <x:v>Apoyo a investigacion</x:v>
      </x:c>
      <x:c r="F33" s="276" t="str">
        <x:v>Finalizado</x:v>
      </x:c>
      <x:c r="G33" s="281" t="n">
        <x:v>-0.3432542589</x:v>
      </x:c>
      <x:c r="H33" s="281" t="n">
        <x:v>-78.2174519969</x:v>
      </x:c>
      <x:c r="I33" s="276" t="str">
        <x:v>El estudio caracterizó la hidrogeología del Área de Conservación Hídrica Ponce Paluguillo mediante cartografía geológica y de permeabilidad, inventario de fuentes, análisis hidroquímicos y datos de precipitación. Elaboró un modelo conceptual para explicar la circulación, recarga y descarga en la subcuenca Carihuaycu. Identificó unidades geológicas y zonas funcionales de agua subterránea, aunque sus estimaciones son una referencia inicial por la escasez de ensayos y parámetros locales.</x:v>
      </x:c>
      <x:c r="J33" s="284"/>
    </x:row>
    <x:row r="34" ht="88" customHeight="1">
      <x:c r="A34" s="276" t="str">
        <x:v>Caracterización molecular de Polylepis racemosa Ruiz and Pav. y Polylepis incana Kunth. mediante marcadores moleculares en Bosques Andinos del Ecuador</x:v>
      </x:c>
      <x:c r="B34" s="276" t="str">
        <x:v>Angie Vanessa Pinzón Ordóñez</x:v>
      </x:c>
      <x:c r="C34" s="277" t="str">
        <x:v>2025</x:v>
      </x:c>
      <x:c r="D34" s="276" t="str">
        <x:v>Ecología de páramo</x:v>
      </x:c>
      <x:c r="E34" s="276" t="str">
        <x:v>Apoyo a investigacion</x:v>
      </x:c>
      <x:c r="F34" s="276" t="str">
        <x:v>Finalizado</x:v>
      </x:c>
      <x:c r="G34" s="281" t="n">
        <x:v>-0.3066666667</x:v>
      </x:c>
      <x:c r="H34" s="281" t="n">
        <x:v>-78.2330555556</x:v>
      </x:c>
      <x:c r="I34" s="276" t="str">
        <x:v>El estudio caracterizó molecularmente Polylepis racemosa y P. incana mediante extracción de ADN, PCR y evaluación de los marcadores matK, ITS y rbcL. Comparó protocolos de extracción y tamaños de amplicones para definir su utilidad taxonómica. CTAB 2X proporcionó ADN de mayor pureza; matK mostró baja diferenciación entre especies, rbcL no amplificó e ITS estuvo condicionado por la poliploidía, por lo que se recomienda clonación y secuenciación de alelos.</x:v>
      </x:c>
      <x:c r="J34" s="284"/>
    </x:row>
    <x:row r="35" ht="88" customHeight="1">
      <x:c r="A35" s="276" t="str">
        <x:v>Cuantificación de carbono en el suelo del Bosque Siempreverde y el Herbazal del Páramo del Área de Conservación Hídrica Paluguillo (Pifo, Pichincha)</x:v>
      </x:c>
      <x:c r="B35" s="276" t="str">
        <x:v>Chaquira Camila Romoleroux Cajas</x:v>
      </x:c>
      <x:c r="C35" s="277" t="str">
        <x:v>2019</x:v>
      </x:c>
      <x:c r="D35" s="276" t="str">
        <x:v>Cambio climático y global</x:v>
      </x:c>
      <x:c r="E35" s="276" t="str">
        <x:v>Apoyo a investigacion</x:v>
      </x:c>
      <x:c r="F35" s="276" t="str">
        <x:v>Finalizado</x:v>
      </x:c>
      <x:c r="G35" s="281" t="n">
        <x:v>-0.310334</x:v>
      </x:c>
      <x:c r="H35" s="281" t="n">
        <x:v>-78.231302</x:v>
      </x:c>
      <x:c r="I35" s="276" t="str">
        <x:v>El estudio cuantificó carbono en suelos de herbazal de páramo y bosques de Polylepis pauta y P. incana del Área de Conservación Hídrica Paluguillo, Pifo. Determinó porcentaje de carbono, densidad aparente y densidad de carbono para establecer una línea base de reservas. Encontró diferencias significativas entre coberturas y mayor porcentaje de carbono en los primeros 20 cm del suelo, resultados que sustentan restauración, reforestación y conservación.</x:v>
      </x:c>
      <x:c r="J35" s="284" t="n">
        <x:v>945</x:v>
      </x:c>
    </x:row>
    <x:row r="36" ht="88" customHeight="1">
      <x:c r="A36" s="276" t="str">
        <x:v>De los páramos a la urbe: historia ambiental, fuentes de agua y gobernanza más que humana para la ciudad de Quito, Ecuador</x:v>
      </x:c>
      <x:c r="B36" s="276" t="str">
        <x:v>Radamés Villagómez-Reséndiz</x:v>
      </x:c>
      <x:c r="C36" s="277" t="str">
        <x:v>2025</x:v>
      </x:c>
      <x:c r="D36" s="276" t="str">
        <x:v>Análisis Socioeconómicos y Ambientales</x:v>
      </x:c>
      <x:c r="E36" s="276" t="str">
        <x:v>Apoyo a investigacion</x:v>
      </x:c>
      <x:c r="F36" s="276" t="str">
        <x:v>Finalizado</x:v>
      </x:c>
      <x:c r="G36" s="281" t="n">
        <x:v>-0.180734</x:v>
      </x:c>
      <x:c r="H36" s="281" t="n">
        <x:v>-78.467926</x:v>
      </x:c>
      <x:c r="I36" s="276" t="str">
        <x:v>El artículo reconstruyó la transición de las políticas de agua de Quito desde antecedentes coloniales y republicanos, la hidráulica municipal y la gestión integrada, hasta formas recientes de gobernanza ambiental. Mediante análisis de discursos, corpus legales e historia ambiental de larga duración, examinó las relaciones entre infraestructura, agua y páramo en la hoya de Guayllabamba. Concluyó que FONAG articula conservación hídrica y ambiental y constituye un referente de política pública y gobernanza.</x:v>
      </x:c>
      <x:c r="J36" s="284"/>
    </x:row>
    <x:row r="37" ht="88" customHeight="1">
      <x:c r="A37" s="276" t="str">
        <x:v>Desarrollo de una metodología para la evaluación de saturación del humedal Pugllohuma mediante el uso de UAVs</x:v>
      </x:c>
      <x:c r="B37" s="276" t="str">
        <x:v>Gabriela Alejandra Espinel Enríquez</x:v>
      </x:c>
      <x:c r="C37" s="277" t="str">
        <x:v>2019</x:v>
      </x:c>
      <x:c r="D37" s="276" t="str">
        <x:v>Ecología de páramo</x:v>
      </x:c>
      <x:c r="E37" s="276" t="str">
        <x:v>Apoyo a investigacion</x:v>
      </x:c>
      <x:c r="F37" s="276" t="str">
        <x:v>Finalizado</x:v>
      </x:c>
      <x:c r="G37" s="281" t="n">
        <x:v>-0.5010939673</x:v>
      </x:c>
      <x:c r="H37" s="281" t="n">
        <x:v>-78.213132817</x:v>
      </x:c>
      <x:c r="I37" s="276" t="str">
        <x:v>El estudio desarrolló una metodología para evaluar la saturación del humedal Pugllohuma mediante vehículos aéreos no tripulados. Generó un modelo de microtopografía a partir de 2.950 imágenes de un UAV de ala fija, con resolución aproximada de 6 cm, y lo contrastó con información de campo y satelital. Estimó un área de 174.330 m² y una pendiente media de 3,3 %, y dejó un procedimiento reproducible para monitorear condiciones de saturación.</x:v>
      </x:c>
      <x:c r="J37" s="284"/>
    </x:row>
    <x:row r="38" ht="88" customHeight="1">
      <x:c r="A38" s="276" t="str">
        <x:v>Determinación de zonas de amenaza de inundación en caso de falla de una presa de gravedad de hormigón mediante análisis probabilístico y modelación hidrológica e hidráulica. Caso de estudio: Presa Rumilona ubicada en la ciudad de Quito</x:v>
      </x:c>
      <x:c r="B38" s="276" t="str">
        <x:v>Diana Guerra; Jairo Tapia</x:v>
      </x:c>
      <x:c r="C38" s="277" t="str">
        <x:v>2025</x:v>
      </x:c>
      <x:c r="D38" s="276" t="str">
        <x:v>Manejo de embalses</x:v>
      </x:c>
      <x:c r="E38" s="276" t="str">
        <x:v>Apoyo a investigacion</x:v>
      </x:c>
      <x:c r="F38" s="276" t="str">
        <x:v>Finalizado</x:v>
      </x:c>
      <x:c r="G38" s="281" t="n">
        <x:v>-0.160183</x:v>
      </x:c>
      <x:c r="H38" s="281" t="n">
        <x:v>-78.524283</x:v>
      </x:c>
      <x:c r="I38" s="276" t="str">
        <x:v>El estudio delimitó zonas de amenaza por inundación ante una falla de la presa de gravedad Rumilona, en Quito. Combinó análisis probabilístico de lluvias con periodos de retorno, modelación hidrológica HEC-HMS y simulación hidráulica de rotura con HEC-RAS y McBreach. Los escenarios generaron caudales pico superiores a 300 m³/s y mostraron alta exposición de áreas urbanas cercanas a la presa, información útil para gestión del riesgo y planes de emergencia.</x:v>
      </x:c>
      <x:c r="J38" s="284"/>
    </x:row>
    <x:row r="39" ht="88" customHeight="1">
      <x:c r="A39" s="276" t="str">
        <x:v>Establecimiento in vitro de Draba obovata Benth. con miras a procesos de restauración ecológica en el Área de Conservación Hídrica Antisana</x:v>
      </x:c>
      <x:c r="B39" s="276" t="str">
        <x:v>Andrea Estefanía Cañadas Rivadeneira</x:v>
      </x:c>
      <x:c r="C39" s="277" t="str">
        <x:v>2022</x:v>
      </x:c>
      <x:c r="D39" s="276" t="str">
        <x:v>Restauración de la cobertura vegetal</x:v>
      </x:c>
      <x:c r="E39" s="276" t="str">
        <x:v>Apoyo a investigacion</x:v>
      </x:c>
      <x:c r="F39" s="276" t="str">
        <x:v>Finalizado</x:v>
      </x:c>
      <x:c r="G39" s="281" t="n">
        <x:v>-0.4813888889</x:v>
      </x:c>
      <x:c r="H39" s="281" t="n">
        <x:v>-78.1408333333</x:v>
      </x:c>
      <x:c r="I39" s="276" t="str">
        <x:v>El estudio estableció un protocolo in vitro para Draba obovata orientado a la restauración ecológica en el Área de Conservación Hídrica Antisana. Probó tratamientos de desinfección, germinación y regulación de crecimiento en medio MS. El uso de detergente al 2 %, etanol al 70 % e hipoclorito de sodio al 2,5 % evitó contaminación y oxidación; el medio MS con sacarosa logró 86,67 % de germinación y BAP más AIA promovió la mayor proliferación de brotes.</x:v>
      </x:c>
      <x:c r="J39" s="284"/>
    </x:row>
    <x:row r="40" ht="88" customHeight="1">
      <x:c r="A40" s="276" t="str">
        <x:v>Establecimiento in vitro de Werneria nubigena Kunth con miras a procesos de restauración ecológica en el Área de Conservación Hídrica Antisana</x:v>
      </x:c>
      <x:c r="B40" s="276" t="str">
        <x:v>Karol Denisse Balseca Campaña</x:v>
      </x:c>
      <x:c r="C40" s="277" t="str">
        <x:v>2022</x:v>
      </x:c>
      <x:c r="D40" s="276" t="str">
        <x:v>Restauración de la cobertura vegetal</x:v>
      </x:c>
      <x:c r="E40" s="276" t="str">
        <x:v>Apoyo a investigacion</x:v>
      </x:c>
      <x:c r="F40" s="276" t="str">
        <x:v>Finalizado</x:v>
      </x:c>
      <x:c r="G40" s="281" t="n">
        <x:v>-0.4817368783</x:v>
      </x:c>
      <x:c r="H40" s="281" t="n">
        <x:v>-78.2325740712</x:v>
      </x:c>
      <x:c r="I40" s="276" t="str">
        <x:v>El trabajo desarrolló un protocolo de establecimiento in vitro de Werneria nubigena con fines de restauración ecológica en el Área de Conservación Hídrica Antisana. Evaluó desinfección, germinación y medios de cultivo a partir de semillas. El tratamiento con detergente al 2 %, etanol al 75 % y cloro al 6 % logró ausencia de contaminación y 50 % de germinación; la remoción de la testa y el medio MS suplementado con AG3 mejoraron la respuesta germinativa.</x:v>
      </x:c>
      <x:c r="J40" s="284"/>
    </x:row>
    <x:row r="41" ht="88" customHeight="1">
      <x:c r="A41" s="276" t="str">
        <x:v>Estimación del impacto de los incendios en las propiedades físico-químicas e hidrológicas del suelo de páramo mediante trabajo experimental</x:v>
      </x:c>
      <x:c r="B41" s="276" t="str">
        <x:v>Jefferson Armando Avellaneda Espinel</x:v>
      </x:c>
      <x:c r="C41" s="277" t="str">
        <x:v>2021</x:v>
      </x:c>
      <x:c r="D41" s="276" t="str">
        <x:v>Ecología de páramo</x:v>
      </x:c>
      <x:c r="E41" s="276" t="str">
        <x:v>Apoyo a investigacion</x:v>
      </x:c>
      <x:c r="F41" s="276" t="str">
        <x:v>Finalizado</x:v>
      </x:c>
      <x:c r="G41" s="281" t="n">
        <x:v>-0.3412841552</x:v>
      </x:c>
      <x:c r="H41" s="281" t="n">
        <x:v>-78.6179926875</x:v>
      </x:c>
      <x:c r="I41" s="276" t="str">
        <x:v>El estudio estimó los efectos del fuego sobre propiedades físico-químicas e hidrológicas de suelos de páramo mediante experimentos con bloques de suelo y comparación entre muestras quemadas y no quemadas. Midió humedad, temperatura, escorrentía, percolación, nutrientes y balance hídrico en el contexto del incendio de 2018 en el cerro Atacazo. La quema experimental no varió el contenido volumétrico de agua durante el evento y el balance de la muestra quemada mostró predominio de escorrentía.</x:v>
      </x:c>
      <x:c r="J41" s="284" t="n">
        <x:v>4711.73</x:v>
      </x:c>
    </x:row>
    <x:row r="42" ht="88" customHeight="1">
      <x:c r="A42" s="276" t="str">
        <x:v>Estudio de la diversidad genética de Polylepis racemosa Ruiz &amp; Pav. y Polylepis incana Kunth. mediante marcadores moleculares en Bosques Andinos del Ecuador</x:v>
      </x:c>
      <x:c r="B42" s="276" t="str">
        <x:v>Lisbeth Elizabeth Cuenca Chasi</x:v>
      </x:c>
      <x:c r="C42" s="277" t="str">
        <x:v>2025</x:v>
      </x:c>
      <x:c r="D42" s="276" t="str">
        <x:v>Ecología de páramo</x:v>
      </x:c>
      <x:c r="E42" s="276" t="str">
        <x:v>Apoyo a investigacion</x:v>
      </x:c>
      <x:c r="F42" s="276" t="str">
        <x:v>Finalizado</x:v>
      </x:c>
      <x:c r="G42" s="281" t="n">
        <x:v>-0.3055555556</x:v>
      </x:c>
      <x:c r="H42" s="281" t="n">
        <x:v>-78.2316666667</x:v>
      </x:c>
      <x:c r="I42" s="276" t="str">
        <x:v>El trabajo estudió la diversidad genética de Polylepis racemosa y P. incana en bosques andinos del Ecuador mediante extracción de ADN, PCR con marcadores ISSR y análisis de agrupamiento, coordenadas principales y AMOVA. El protocolo CTAB modificado permitió obtener ADN de calidad. Se registró 73,87 % de bandas polimórficas y tres agrupaciones genéticas, con alta diferenciación y bajo flujo génico, resultados útiles para orientar la conservación de las poblaciones.</x:v>
      </x:c>
      <x:c r="J42" s="284"/>
    </x:row>
    <x:row r="43" ht="88" customHeight="1">
      <x:c r="A43" s="276" t="str">
        <x:v>Estudio de la evolución del nivel de trofía del embalse Mogotes (1997-2018)</x:v>
      </x:c>
      <x:c r="B43" s="276" t="str">
        <x:v>Jhonatan Gustavo Cevallos Rodríguez; Cristina Vanessa Pozo Landa</x:v>
      </x:c>
      <x:c r="C43" s="277" t="str">
        <x:v>2020</x:v>
      </x:c>
      <x:c r="D43" s="276" t="str">
        <x:v>Manejo de embalses</x:v>
      </x:c>
      <x:c r="E43" s="276" t="str">
        <x:v>Apoyo a investigacion</x:v>
      </x:c>
      <x:c r="F43" s="276" t="str">
        <x:v>Finalizado</x:v>
      </x:c>
      <x:c r="G43" s="281" t="n">
        <x:v>-0.2750565557</x:v>
      </x:c>
      <x:c r="H43" s="281" t="n">
        <x:v>-78.1394944788</x:v>
      </x:c>
      <x:c r="I43" s="276" t="str">
        <x:v>El estudio examinó la evolución del nivel de trofía del embalse Mogotes entre 1997 y 2018. Actualizó la batimetría mediante transectos y mediciones con RiverSurveyor M9, y contrastó información histórica y actual de clorofila, nutrientes, turbidez y variables fisicoquímicas. Integró estos indicadores para describir el estado trófico y su cambio temporal, dejando una referencia para el monitoreo del embalse altoandino.</x:v>
      </x:c>
      <x:c r="J43" s="284"/>
    </x:row>
    <x:row r="44" ht="88" customHeight="1">
      <x:c r="A44" s="276" t="str">
        <x:v>Evaluación de la concentración y distribución espacial de nutrientes en el embalse La Mica</x:v>
      </x:c>
      <x:c r="B44" s="276" t="str">
        <x:v>Juan Gabriel Enríquez Guerrero; Máximo Israel Poma Quijije</x:v>
      </x:c>
      <x:c r="C44" s="277" t="str">
        <x:v>2019</x:v>
      </x:c>
      <x:c r="D44" s="276" t="str">
        <x:v>Manejo de embalses</x:v>
      </x:c>
      <x:c r="E44" s="276" t="str">
        <x:v>Apoyo a investigacion</x:v>
      </x:c>
      <x:c r="F44" s="276" t="str">
        <x:v>Finalizado</x:v>
      </x:c>
      <x:c r="G44" s="281" t="n">
        <x:v>-0.5430748283</x:v>
      </x:c>
      <x:c r="H44" s="281" t="n">
        <x:v>-78.2259230203</x:v>
      </x:c>
      <x:c r="I44" s="276" t="str">
        <x:v>El trabajo evaluó la concentración y distribución de nitrito, nitrato, nitrógeno amoniacal y ortofosfato en el embalse La Mica. Integró registros de 1997 a 2016 con muestreos de campo, perfiles verticales e isolíneas para analizar cambios estacionales y espaciales. Encontró variación de nutrientes según época y ubicación, con mayores concentraciones de varios parámetros entre mayo y julio, y generó una base de comparación para el monitoreo de calidad y estado trófico.</x:v>
      </x:c>
      <x:c r="J44" s="284"/>
    </x:row>
    <x:row r="45" ht="88" customHeight="1">
      <x:c r="A45" s="276" t="str">
        <x:v>Evaluación de la concentración y distribución espacial de nutrientes en el embalse Salve Faccha</x:v>
      </x:c>
      <x:c r="B45" s="276" t="str">
        <x:v>Adrián Alejandro Anchundia Samaniego; Katerinne Micaela Vergara Estrada</x:v>
      </x:c>
      <x:c r="C45" s="277" t="str">
        <x:v>2018</x:v>
      </x:c>
      <x:c r="D45" s="276" t="str">
        <x:v>Manejo de embalses</x:v>
      </x:c>
      <x:c r="E45" s="276" t="str">
        <x:v>Apoyo a investigacion</x:v>
      </x:c>
      <x:c r="F45" s="276" t="str">
        <x:v>Finalizado</x:v>
      </x:c>
      <x:c r="G45" s="281" t="n">
        <x:v>-0.2290646358</x:v>
      </x:c>
      <x:c r="H45" s="281" t="n">
        <x:v>-78.1541545018</x:v>
      </x:c>
      <x:c r="I45" s="276" t="str">
        <x:v>El estudio evaluó nutrientes en el embalse Salve Faccha mediante registros históricos de 2002 a 2016, mediciones de campo y perfiles verticales de nitrito, nitrato, nitrógeno amoniacal y ortofosfato. Elaboró isolíneas y mapas para comparar la variación temporal y espacial. Identificó zonas de mayor concentración y episodios inusuales en la serie, proporcionando una base para seguir la calidad del agua y los procesos de enriquecimiento de nutrientes del embalse.</x:v>
      </x:c>
      <x:c r="J45" s="284"/>
    </x:row>
    <x:row r="46" ht="88" customHeight="1">
      <x:c r="A46" s="276" t="str">
        <x:v>Evaluación de la eficiencia de tres activadores biológicos aplicados a pilas de compostaje ubicadas en la comunidad de San Francisco de Cruz Loma</x:v>
      </x:c>
      <x:c r="B46" s="276" t="str">
        <x:v>Gianni Carolina Défaz Visuete; Henry Alejandro Gualoto Simbaña</x:v>
      </x:c>
      <x:c r="C46" s="277" t="str">
        <x:v>2020</x:v>
      </x:c>
      <x:c r="D46" s="276" t="str">
        <x:v>Análisis Socioeconómicos y Ambientales</x:v>
      </x:c>
      <x:c r="E46" s="276" t="str">
        <x:v>Apoyo a investigacion</x:v>
      </x:c>
      <x:c r="F46" s="276" t="str">
        <x:v>Finalizado</x:v>
      </x:c>
      <x:c r="G46" s="281" t="n">
        <x:v>-0.1823417901</x:v>
      </x:c>
      <x:c r="H46" s="281" t="n">
        <x:v>-78.5375824471</x:v>
      </x:c>
      <x:c r="I46" s="276" t="str">
        <x:v>El estudio evaluó tres activadores biológicos aplicados a pilas de compostaje en la comunidad de San Francisco de Cruz Loma. Comparó suero, fermento de alfalfa y microorganismos eficientes autóctonos con controles, y monitoreó temperatura, pH, humedad y madurez en 12 pilas. El seguimiento permitió contrastar la eficiencia de los tratamientos y registró compost maduro a las 15 semanas, aportando una alternativa de aprovechamiento de residuos orgánicos comunitarios.</x:v>
      </x:c>
      <x:c r="J46" s="284"/>
    </x:row>
    <x:row r="47" ht="88" customHeight="1">
      <x:c r="A47" s="276" t="str">
        <x:v>Evaluación de la ocupación de hábitat y comportamiento del oso andino (Tremarctos ornatus) en el Refugio de Vida Silvestre APH Ponce Paluguillo, Pichincha-Ecuador entre los años 2022 y 2024</x:v>
      </x:c>
      <x:c r="B47" s="276" t="str">
        <x:v>Lenin Fernando Urrutia Merchan</x:v>
      </x:c>
      <x:c r="C47" s="277" t="str">
        <x:v>2025</x:v>
      </x:c>
      <x:c r="D47" s="276" t="str">
        <x:v>Ecología de páramo</x:v>
      </x:c>
      <x:c r="E47" s="276" t="str">
        <x:v>Apoyo a investigacion</x:v>
      </x:c>
      <x:c r="F47" s="276" t="str">
        <x:v>Finalizado</x:v>
      </x:c>
      <x:c r="G47" s="281" t="n">
        <x:v>-0.306587781</x:v>
      </x:c>
      <x:c r="H47" s="281" t="n">
        <x:v>-78.2325152344</x:v>
      </x:c>
      <x:c r="I47" s="276" t="str">
        <x:v>El estudio evaluó la ocupación de hábitat y el comportamiento del oso andino en el Refugio de Vida Silvestre APH Ponce Paluguillo entre 2022 y 2024. Instaló 13 estaciones de cámaras trampa en cinco ecosistemas de páramo y analizó visitas, actividad y ocupación con modelos de una temporada y SIG. Registró diferencias de comportamiento por sexo y mayor frecuencia de visitas en Faccha y Niguanchi, aportando insumos para la conectividad y conservación.</x:v>
      </x:c>
      <x:c r="J47" s="284"/>
    </x:row>
    <x:row r="48" ht="88" customHeight="1">
      <x:c r="A48" s="276" t="str">
        <x:v>Evaluación de la variación de la calidad del agua en la cuenca alta del río Pita</x:v>
      </x:c>
      <x:c r="B48" s="276" t="str">
        <x:v>Marcelo Fernando Amores Palma</x:v>
      </x:c>
      <x:c r="C48" s="277" t="str">
        <x:v>2019</x:v>
      </x:c>
      <x:c r="D48" s="276" t="str">
        <x:v>Hidrología</x:v>
      </x:c>
      <x:c r="E48" s="276" t="str">
        <x:v>Apoyo a investigacion</x:v>
      </x:c>
      <x:c r="F48" s="276" t="str">
        <x:v>Finalizado</x:v>
      </x:c>
      <x:c r="G48" s="281" t="n">
        <x:v>-0.619938913</x:v>
      </x:c>
      <x:c r="H48" s="281" t="n">
        <x:v>-78.381533083</x:v>
      </x:c>
      <x:c r="I48" s="276" t="str">
        <x:v>El trabajo evaluó la variación de la calidad del agua en la cuenca alta del río Pita a partir de 19 años de registros, cinco estaciones de monitoreo y el índice canadiense CCME. Analizó las relaciones espacio-temporales entre calidad y cantidad de agua en los sectores alto, medio y bajo. Los resultados mostraron mejor condición en la cabecera, deterioro en el tramo medio y recuperación parcial aguas abajo, evidenciando la influencia de los usos y presiones de la cuenca.</x:v>
      </x:c>
      <x:c r="J48" s="284"/>
    </x:row>
    <x:row r="49" ht="88" customHeight="1">
      <x:c r="A49" s="276" t="str">
        <x:v>Evaluación del estado del humedal Pugllohuma, perteneciente al Área de Conservación Hídrica Antisana (ACHA), mediante el análisis de índices espectrales de imágenes capturadas desde una aeronave no tripulada (UAV)</x:v>
      </x:c>
      <x:c r="B49" s="276" t="str">
        <x:v>Kevin Alejandro Palma Castro</x:v>
      </x:c>
      <x:c r="C49" s="277" t="str">
        <x:v>2020</x:v>
      </x:c>
      <x:c r="D49" s="276" t="str">
        <x:v>Ecología de páramo</x:v>
      </x:c>
      <x:c r="E49" s="276" t="str">
        <x:v>Apoyo a investigacion</x:v>
      </x:c>
      <x:c r="F49" s="276" t="str">
        <x:v>Finalizado</x:v>
      </x:c>
      <x:c r="G49" s="281" t="n">
        <x:v>-0.500285</x:v>
      </x:c>
      <x:c r="H49" s="281" t="n">
        <x:v>-78.216706</x:v>
      </x:c>
      <x:c r="I49" s="276" t="str">
        <x:v>El estudio evaluó el estado del humedal Pugllohuma, en el Área de Conservación Hídrica Antisana, mediante topografía e índices espectrales obtenidos con UAV. Planificó vuelos con sensores RGB y multiespectral, generó productos fotogramétricos y mapas de agua para caracterizar aproximadamente 25 ha. Identificó zonas bajas con alta capacidad de acumulación y vegetación circundante húmeda y en buen estado, y propuso validar y extender la metodología en otras épocas y humedales andinos.</x:v>
      </x:c>
      <x:c r="J49" s="284"/>
    </x:row>
    <x:row r="50" ht="88" customHeight="1">
      <x:c r="A50" s="276" t="str">
        <x:v>Evaluación del impacto de los hongos micorrícicos arbusculares (AM) autóctonos y exógenos en el desarrollo de plantas de Polylepis incana Kunth</x:v>
      </x:c>
      <x:c r="B50" s="276" t="str">
        <x:v>Karen Yesenia Suntaxi Cruz</x:v>
      </x:c>
      <x:c r="C50" s="277" t="str">
        <x:v>2025</x:v>
      </x:c>
      <x:c r="D50" s="276" t="str">
        <x:v>Restauración de la cobertura vegetal</x:v>
      </x:c>
      <x:c r="E50" s="276" t="str">
        <x:v>Apoyo a investigacion</x:v>
      </x:c>
      <x:c r="F50" s="276" t="str">
        <x:v>Finalizado</x:v>
      </x:c>
      <x:c r="G50" s="281" t="n">
        <x:v>-0.306712</x:v>
      </x:c>
      <x:c r="H50" s="281" t="n">
        <x:v>-78.232187</x:v>
      </x:c>
      <x:c r="I50" s="276" t="str">
        <x:v>El estudio evaluó el efecto de hongos micorrícicos arbusculares autóctonos y exógenos sobre plántulas de Polylepis incana en la Reserva Hídrica Ponce Paluguillo. Comparó tratamientos con ambos inóculos y sin micorrizas, midiendo biomasa, longitud, esporas y colonización con pruebas ANOVA y Kruskal-Wallis. El tratamiento exógeno aumentó significativamente las esporas de 7,17 a 9,70 por gramo de suelo, mostrando mayor capacidad de propagación que el autóctono en el periodo evaluado.</x:v>
      </x:c>
      <x:c r="J50" s="284"/>
    </x:row>
    <x:row r="51" ht="88" customHeight="1">
      <x:c r="A51" s="276" t="str">
        <x:v>Exploración del producto satelital de precipitación IMERG V06 como insumo para la hidrología: determinación de curvas intensidad-duración-frecuencia (IDF) sub-diaria y diaria</x:v>
      </x:c>
      <x:c r="B51" s="276" t="str">
        <x:v>Luis Marcelo Vargas Domínguez</x:v>
      </x:c>
      <x:c r="C51" s="277" t="str">
        <x:v>2023</x:v>
      </x:c>
      <x:c r="D51" s="276" t="str">
        <x:v>Hidrología</x:v>
      </x:c>
      <x:c r="E51" s="276" t="str">
        <x:v>Apoyo a investigacion</x:v>
      </x:c>
      <x:c r="F51" s="276" t="str">
        <x:v>Finalizado</x:v>
      </x:c>
      <x:c r="G51" s="281" t="n">
        <x:v>-0.181394</x:v>
      </x:c>
      <x:c r="H51" s="281" t="n">
        <x:v>-78.472193</x:v>
      </x:c>
      <x:c r="I51" s="276" t="str">
        <x:v>El trabajo evaluó el producto satelital IMERG V06 para construir curvas intensidad-duración-frecuencia subdiarias y diarias entre 2000 y 2021. Comparó series de 30 minutos y resolución 0,1° con estaciones del Distrito Metropolitano de Quito y otras regiones, aplicando análisis de extremos y ajuste probabilístico. El desempeño dependió de las condiciones fisiográficas y climáticas: IMERG tendió a subestimar intensidades cortas y a sobreestimarlas en duraciones largas, lo que limita su uso directo en diseño hidrológico.</x:v>
      </x:c>
      <x:c r="J51" s="284"/>
    </x:row>
    <x:row r="52" ht="88" customHeight="1">
      <x:c r="A52" s="276" t="str">
        <x:v>Impacto de la práctica del enduro en las propiedades hidrofísicas del suelo en el páramo de la cuenca alta del río Cinto</x:v>
      </x:c>
      <x:c r="B52" s="276" t="str">
        <x:v>Valeria Alegría Cadena de la Espriella; Lizeth Alejandra Yánez Catota</x:v>
      </x:c>
      <x:c r="C52" s="277" t="str">
        <x:v>2019</x:v>
      </x:c>
      <x:c r="D52" s="276" t="str">
        <x:v>Ecología de páramo</x:v>
      </x:c>
      <x:c r="E52" s="276" t="str">
        <x:v>Apoyo a investigacion</x:v>
      </x:c>
      <x:c r="F52" s="276" t="str">
        <x:v>Finalizado</x:v>
      </x:c>
      <x:c r="G52" s="281" t="n">
        <x:v>-0.1775534047</x:v>
      </x:c>
      <x:c r="H52" s="281" t="n">
        <x:v>-78.5542830863</x:v>
      </x:c>
      <x:c r="I52" s="276" t="str">
        <x:v>El estudio evaluó el impacto del enduro en las propiedades hidrofísicas del suelo de páramo en la cuenca alta del río Cinto. Comparó zonas intervenidas y no intervenidas mediante densidad aparente, porosidad, conductividad hidráulica y retención de agua. Los resultados evidenciaron compactación en las áreas afectadas, con disminución de microporos, capacidad de retención y conductividad, y aumento de densidad aparente; estos cambios favorecen la escorrentía y la erosión.</x:v>
      </x:c>
      <x:c r="J52" s="284" t="n">
        <x:v>750</x:v>
      </x:c>
    </x:row>
    <x:row r="53" ht="88" customHeight="1">
      <x:c r="A53" s="276" t="str">
        <x:v>Impacto de los incendios en las propiedades hidrofísicas y químicas del suelo, volcán Atacazo</x:v>
      </x:c>
      <x:c r="B53" s="276" t="str">
        <x:v>Michelle Gabriela Quintana Buitrón</x:v>
      </x:c>
      <x:c r="C53" s="277" t="str">
        <x:v>2021</x:v>
      </x:c>
      <x:c r="D53" s="276" t="str">
        <x:v>Ecología de páramo</x:v>
      </x:c>
      <x:c r="E53" s="276" t="str">
        <x:v>Apoyo a investigacion</x:v>
      </x:c>
      <x:c r="F53" s="276" t="str">
        <x:v>Finalizado</x:v>
      </x:c>
      <x:c r="G53" s="281" t="n">
        <x:v>-0.344524</x:v>
      </x:c>
      <x:c r="H53" s="281" t="n">
        <x:v>-78.61744</x:v>
      </x:c>
      <x:c r="I53" s="276" t="str">
        <x:v>El estudio cuantificó el impacto del incendio de septiembre de 2018 sobre las propiedades hidrofísicas y químicas de suelos de páramo del volcán Atacazo. Comparó microcuencas quemada y no quemada, dos profundidades, coberturas de pajonal y almohadilla, y un gradiente altitudinal mediante ensayos de laboratorio y campo. Detectó diferencias significativas en varios parámetros, especialmente en las partes alta y media del gradiente, y aportó una base espacial para evaluar afectación por incendios.</x:v>
      </x:c>
      <x:c r="J53" s="284"/>
    </x:row>
    <x:row r="54" ht="88" customHeight="1">
      <x:c r="A54" s="276" t="str">
        <x:v>Lateral Transport of Carbon due to Soil Erosion by Rainfall Simulation in the Northern Páramos of Ecuador</x:v>
      </x:c>
      <x:c r="B54" s="276" t="str">
        <x:v>Rommel Patricio Arboleda Ruales</x:v>
      </x:c>
      <x:c r="C54" s="277" t="str">
        <x:v>2019</x:v>
      </x:c>
      <x:c r="D54" s="276" t="str">
        <x:v>Cambio climático y global</x:v>
      </x:c>
      <x:c r="E54" s="276" t="str">
        <x:v>Apoyo a investigacion</x:v>
      </x:c>
      <x:c r="F54" s="276" t="str">
        <x:v>Finalizado</x:v>
      </x:c>
      <x:c r="G54" s="281" t="n">
        <x:v>-0.397425</x:v>
      </x:c>
      <x:c r="H54" s="281" t="n">
        <x:v>-78.252671</x:v>
      </x:c>
      <x:c r="I54" s="276" t="str">
        <x:v>La tesis evaluó el transporte lateral de carbono y la erosión del suelo bajo lluvia simulada en páramos del norte del Ecuador. Comparó usos y alteraciones del suelo, incluidos pajonal, agricultura, barbecho, pastizal, extracción de suelo y zonas afectadas por oleoducto, con una intensidad media de lluvia de 10,5 mm/h. Identificó como prioritarias para monitoreo y restauración las áreas con minería de suelo, remoción por oleoducto y pastoreo por su mayor vulnerabilidad a degradación y erosión.</x:v>
      </x:c>
      <x:c r="J54" s="284" t="n">
        <x:v>2690</x:v>
      </x:c>
    </x:row>
    <x:row r="55" ht="88" customHeight="1">
      <x:c r="A55" s="276" t="str">
        <x:v>Micropropagación in vitro de Astragalus geminiflorus, una especie adaptada a zonas con degradación de suelo y endémica del Ecuador</x:v>
      </x:c>
      <x:c r="B55" s="276" t="str">
        <x:v>Juan José Herrera Montenegro</x:v>
      </x:c>
      <x:c r="C55" s="277" t="str">
        <x:v>2019</x:v>
      </x:c>
      <x:c r="D55" s="276" t="str">
        <x:v>Restauración de la cobertura vegetal</x:v>
      </x:c>
      <x:c r="E55" s="276" t="str">
        <x:v>Apoyo a investigacion</x:v>
      </x:c>
      <x:c r="F55" s="276" t="str">
        <x:v>Finalizado</x:v>
      </x:c>
      <x:c r="G55" s="281" t="n">
        <x:v>-0.480548</x:v>
      </x:c>
      <x:c r="H55" s="281" t="n">
        <x:v>-78.23081</x:v>
      </x:c>
      <x:c r="I55" s="276" t="str">
        <x:v>El trabajo desarrolló un esquema de micropropagación in vitro de Astragalus geminiflorus, especie endémica adaptada a suelos degradados. Comparó explantes de campo y semillas, tratamientos de desinfección, medios de cultivo, enraizamiento y sustratos de aclimatación. Las semillas resultaron el material inicial más apropiado y la desinfección con hipoclorito de sodio al 1 % redujo la contaminación de explantes; el protocolo aporta insumos para multiplicación y restauración de poblaciones.</x:v>
      </x:c>
      <x:c r="J55" s="284" t="n">
        <x:v>1600</x:v>
      </x:c>
    </x:row>
    <x:row r="56" ht="88" customHeight="1">
      <x:c r="A56" s="276" t="str">
        <x:v>Participatory management: Guayllabamba case study</x:v>
      </x:c>
      <x:c r="B56" s="276" t="str">
        <x:v>Claudia Prehn Garcés</x:v>
      </x:c>
      <x:c r="C56" s="277" t="str">
        <x:v>2019</x:v>
      </x:c>
      <x:c r="D56" s="276" t="str">
        <x:v>Análisis Socioeconómicos y Ambientales</x:v>
      </x:c>
      <x:c r="E56" s="276" t="str">
        <x:v>Apoyo a investigacion</x:v>
      </x:c>
      <x:c r="F56" s="276" t="str">
        <x:v>Finalizado</x:v>
      </x:c>
      <x:c r="G56" s="281" t="n">
        <x:v>-0.250818</x:v>
      </x:c>
      <x:c r="H56" s="281" t="n">
        <x:v>-78.474326</x:v>
      </x:c>
      <x:c r="I56" s="276" t="str">
        <x:v>El estudio de caso analizó la gestión participativa del agua en la cuenca Guayllabamba, con atención a las interacciones y perspectivas de instituciones públicas, ONG y asociaciones de usuarios. Aplicó un diseño mixto emergente con entrevistas, encuesta y observación directa. Identificó fricciones asociadas a cambios institucionales y a planes percibidos como técnicos y abstractos, y mostró la importancia del diálogo entre actores para hacer más práctica la gestión del agua.</x:v>
      </x:c>
      <x:c r="J56" s="284"/>
    </x:row>
    <x:row r="57" ht="88" customHeight="1">
      <x:c r="A57" s="276" t="str">
        <x:v>Respuesta hídrica de suelos de páramo bajo diferentes niveles de degradación, estudio de caso a escala de parcela</x:v>
      </x:c>
      <x:c r="B57" s="276" t="str">
        <x:v>Luis Enrique Quinteros Maldonado</x:v>
      </x:c>
      <x:c r="C57" s="277" t="str">
        <x:v>2017</x:v>
      </x:c>
      <x:c r="D57" s="276" t="str">
        <x:v>Hidrología</x:v>
      </x:c>
      <x:c r="E57" s="276" t="str">
        <x:v>Apoyo a investigacion</x:v>
      </x:c>
      <x:c r="F57" s="276" t="str">
        <x:v>Finalizado</x:v>
      </x:c>
      <x:c r="G57" s="281" t="n">
        <x:v>-0.4822432304</x:v>
      </x:c>
      <x:c r="H57" s="281" t="n">
        <x:v>-78.2333009645</x:v>
      </x:c>
      <x:c r="I57" s="276" t="str">
        <x:v>El trabajo analizó la respuesta hídrica de suelos de páramo bajo distintos niveles de degradación en la unidad Jatunhuaycu, al oeste del nevado Antisana. Consideró un arenal de 21 ha asociado a pastoreo ovino y combinó mediciones de propiedades hidrofísicas, monitoreo de lluvia y análisis de erosión a escala de parcela. La conductividad hidráulica saturada varió entre niveles de degradación y mostró infiltración rápida en varios escenarios, información relevante para interpretar la pérdida de regulación y el aporte de sedimentos.</x:v>
      </x:c>
      <x:c r="J57" s="284"/>
    </x:row>
    <x:row r="58" ht="88" customHeight="1">
      <x:c r="A58" s="276" t="str">
        <x:v>Simulación de la hidrología de la cuenca Humboldt del volcán Antisana</x:v>
      </x:c>
      <x:c r="B58" s="276" t="str">
        <x:v>Jean Carlos Ruiz Hernández</x:v>
      </x:c>
      <x:c r="C58" s="277" t="str">
        <x:v>2015</x:v>
      </x:c>
      <x:c r="D58" s="276" t="str">
        <x:v>Hidrología</x:v>
      </x:c>
      <x:c r="E58" s="276" t="str">
        <x:v>Apoyo a investigacion</x:v>
      </x:c>
      <x:c r="F58" s="276" t="str">
        <x:v>Finalizado</x:v>
      </x:c>
      <x:c r="G58" s="281" t="n">
        <x:v>-0.5204099162</x:v>
      </x:c>
      <x:c r="H58" s="281" t="n">
        <x:v>-78.2235902767</x:v>
      </x:c>
      <x:c r="I58" s="276" t="str">
        <x:v>El trabajo simuló la hidrología de la cuenca Humboldt del volcán Antisana sin considerar el aporte glaciar. Implementó el modelo físico DHSVM con modelo digital de elevación, cobertura vegetal, tipo y espesor de suelo, red de drenaje y datos meteorológicos, y calibró y validó caudales observados. Validó la representación del caudal base y de la respuesta a lluvias, y propuso parámetros de suelo y vegetación para investigaciones futuras, aunque reconoce limitaciones de datos meteorológicos multianuales.</x:v>
      </x:c>
      <x:c r="J58" s="284"/>
    </x:row>
    <x:row r="59" ht="88" customHeight="1">
      <x:c r="A59" s="276" t="str">
        <x:v>Sounds of Regeneration: Structural and Bioacoustic Characteristics of Paramo, Primary Forest, and Secondary Forest in the High Elevation Tropical Andes</x:v>
      </x:c>
      <x:c r="B59" s="276" t="str">
        <x:v>Alyssa Killingsworth</x:v>
      </x:c>
      <x:c r="C59" s="277" t="str">
        <x:v>2025</x:v>
      </x:c>
      <x:c r="D59" s="276" t="str">
        <x:v>Ecología de páramo</x:v>
      </x:c>
      <x:c r="E59" s="276" t="str">
        <x:v>Apoyo a investigacion</x:v>
      </x:c>
      <x:c r="F59" s="276" t="str">
        <x:v>Finalizado</x:v>
      </x:c>
      <x:c r="G59" s="281" t="n">
        <x:v>-0.517583</x:v>
      </x:c>
      <x:c r="H59" s="281" t="n">
        <x:v>-78.235406</x:v>
      </x:c>
      <x:c r="I59" s="276" t="str">
        <x:v>El proyecto comparó características estructurales y bioacústicas de páramo, bosque primario y bosque secundario en los Andes tropicales de gran altitud. Realizó transectos de vegetación y registró sonidos con unidades autónomas, incorporando cobertura, pendiente, temperatura y humedad en los análisis estadísticos. Encontró diferencias estructurales entre coberturas y relaciones entre actividad sonora y condiciones del hábitat; recomienda ampliar el muestreo para precisar patrones de regeneración.</x:v>
      </x:c>
      <x:c r="J59" s="284"/>
    </x:row>
    <x:row r="60" ht="88" customHeight="1">
      <x:c r="A60" s="276" t="str">
        <x:v>Wetland monitoring technification for the Ecuadorian Andean region based on a multi-agent framework</x:v>
      </x:c>
      <x:c r="B60" s="276" t="str">
        <x:v>Esteban Valencia; Iván Changoluisa; Kevin Palma; Patricio Cruz; Deyanira Valencia; Paul Ayala; Victor Hidalgo; Diego Quisi; Nelson Jara; Diana Puga</x:v>
      </x:c>
      <x:c r="C60" s="277" t="str">
        <x:v>2022</x:v>
      </x:c>
      <x:c r="D60" s="276" t="str">
        <x:v>Ecología de páramo</x:v>
      </x:c>
      <x:c r="E60" s="276" t="str">
        <x:v>Apoyo a investigacion</x:v>
      </x:c>
      <x:c r="F60" s="276" t="str">
        <x:v>Finalizado</x:v>
      </x:c>
      <x:c r="G60" s="281" t="n">
        <x:v>-0.502555</x:v>
      </x:c>
      <x:c r="H60" s="281" t="n">
        <x:v>-78.212197</x:v>
      </x:c>
      <x:c r="I60" s="276" t="str">
        <x:v>El artículo desarrolló y validó un marco multiagente de monitoreo de humedales altoandinos que combina mediciones de campo, imágenes satelitales y ortomosaicos de UAV. Lo aplicó en el humedal Pugllohuma, Área de Conservación Hídrica Antisana, mediante procesamiento RGB, índices multiespectrales y análisis topográfico. El esquema RGB estimó 36 % de área saturada, cercano al 39,27 % de la referencia multiespectral, y ofrece una alternativa de bajo costo para monitoreo periódico y escalable.</x:v>
      </x:c>
      <x:c r="J60" s="284"/>
    </x:row>
    <x:row r="61" ht="88" customHeight="1">
      <x:c r="A61" s="276" t="str">
        <x:v>Caracterización morfológica y molecular del agente causal de la pudrición radicular de pajonal (Calamagrostis fibrovaginata)</x:v>
      </x:c>
      <x:c r="B61" s="276" t="str">
        <x:v>Kevin Sebastian Bejarano Coronel</x:v>
      </x:c>
      <x:c r="C61" s="277" t="str">
        <x:v>2026</x:v>
      </x:c>
      <x:c r="D61" s="276" t="str">
        <x:v>Ecología de páramo</x:v>
      </x:c>
      <x:c r="E61" s="276" t="str">
        <x:v>Becas</x:v>
      </x:c>
      <x:c r="F61" s="276" t="str">
        <x:v>En curso</x:v>
      </x:c>
      <x:c r="G61" s="281" t="n">
        <x:v>-0.4991166667</x:v>
      </x:c>
      <x:c r="H61" s="281" t="n">
        <x:v>-78.2182516667</x:v>
      </x:c>
      <x:c r="I61" s="276" t="str">
        <x:v>La investigación caracteriza el agente asociado a la pudrición radicular de Calamagrostis fibrovaginata en el páramo de Antisana. Trabaja con aislamientos de plantas afectadas, cultivos en PDA, microscopía, amplificación de ITS, β-tubulina y TEF1-α, filogenia de máxima verosimilitud y ensayos de patogenicidad. El documento disponible identifica el aislado dentro del complejo Fusarium sambucinum y reporta que indujo síntomas de pudrición y marchitez en condiciones controladas; la delimitación a nivel de especie requiere marcadores adicionales.</x:v>
      </x:c>
      <x:c r="J61" s="284"/>
    </x:row>
    <x:row r="62" ht="88" customHeight="1">
      <x:c r="A62" s="276" t="str">
        <x:v>Diseño de la cadena de valor para el vivero de Yunguilla y Cruz Loma adaptada a los distintos métodos de propagación empleados en su producción para optimizar procesos y recursos</x:v>
      </x:c>
      <x:c r="B62" s="276" t="str">
        <x:v>Xiomara Milena Yepez Franco</x:v>
      </x:c>
      <x:c r="C62" s="277" t="str">
        <x:v>2026</x:v>
      </x:c>
      <x:c r="D62" s="276" t="str">
        <x:v>Economía Ecológica y Economía Ambiental</x:v>
      </x:c>
      <x:c r="E62" s="276" t="str">
        <x:v>Becas</x:v>
      </x:c>
      <x:c r="F62" s="276" t="str">
        <x:v>En curso</x:v>
      </x:c>
      <x:c r="G62" s="281" t="n">
        <x:v>-0.182913</x:v>
      </x:c>
      <x:c r="H62" s="281" t="n">
        <x:v>-78.567421</x:v>
      </x:c>
      <x:c r="I62" s="276" t="str">
        <x:v>El estudio analiza la cadena de valor de plantas nativas en los viveros comunitarios Las Tolas y San Francisco de Cruz Loma. Con un diseño mixto, observacional y transversal para datos de 2025, integra entrevistas, observación, registros administrativos, mapeo de flujos, cálculo de costos y comparación con un vivero comercial. El documento disponible identifica dependencia de un solo comprador y precios de venta de 0,50 USD inferiores al precio mínimo viable estimado de 0,71 a 0,88 USD por planta, y propone acciones 5W2H y B2B para fortalecer la sostenibilidad.</x:v>
      </x:c>
      <x:c r="J62" s="284"/>
    </x:row>
    <x:row r="63" ht="88" customHeight="1">
      <x:c r="A63" s="276" t="str">
        <x:v>Análisis comparativo del estado ecológico de la vegetación acuática en dos humedales altoandinos del volcán Antisana</x:v>
      </x:c>
      <x:c r="B63" s="276" t="str">
        <x:v>Maria Gracia Portilla Rivadeneira</x:v>
      </x:c>
      <x:c r="C63" s="277" t="str">
        <x:v>2019</x:v>
      </x:c>
      <x:c r="D63" s="276" t="str">
        <x:v>Ecología de páramo</x:v>
      </x:c>
      <x:c r="E63" s="276" t="str">
        <x:v>Becas</x:v>
      </x:c>
      <x:c r="F63" s="276" t="str">
        <x:v>Finalizado</x:v>
      </x:c>
      <x:c r="G63" s="281" t="n">
        <x:v>-0.489631</x:v>
      </x:c>
      <x:c r="H63" s="281" t="n">
        <x:v>-78.216805</x:v>
      </x:c>
      <x:c r="I63" s="276" t="str">
        <x:v>El estudio comparó el estado ecológico de la vegetación acuática en los humedales Patugllana y Pugllohuma, al pie del volcán Antisana, durante las épocas lluviosa y seca de 2018–2019. Identificó plantas acuáticas y algas filamentosas y relacionó su composición con parámetros físico-químicos, nutrientes, hierro y sulfatos. Registró 17 especies de plantas y ocho géneros de algas; Patugllana tuvo mayor riqueza y Pugllohuma mayor cobertura de algas filamentosas, y ambos humedales cambiaron fuertemente en época seca.</x:v>
      </x:c>
      <x:c r="J63" s="284" t="n">
        <x:v>1496.5</x:v>
      </x:c>
    </x:row>
    <x:row r="64" ht="88" customHeight="1">
      <x:c r="A64" s="276" t="str">
        <x:v>Análisis de la calidad de agua en las áreas de conservación hídrica del FONAG para la evaluación de la eficacia de las estrategias de protección y conservación hídrica</x:v>
      </x:c>
      <x:c r="B64" s="276" t="str">
        <x:v>Michelle Jazmín Parra Pedraza</x:v>
      </x:c>
      <x:c r="C64" s="277" t="str">
        <x:v>2020</x:v>
      </x:c>
      <x:c r="D64" s="276" t="str">
        <x:v>Análisis Socioeconómicos y Ambientales</x:v>
      </x:c>
      <x:c r="E64" s="276" t="str">
        <x:v>Becas</x:v>
      </x:c>
      <x:c r="F64" s="276" t="str">
        <x:v>Finalizado</x:v>
      </x:c>
      <x:c r="G64" s="281" t="n">
        <x:v>-0.509635</x:v>
      </x:c>
      <x:c r="H64" s="281" t="n">
        <x:v>-78.273149</x:v>
      </x:c>
      <x:c r="I64" s="276" t="str">
        <x:v>El estudio analizó la calidad del agua y la integridad ecológica de ríos de las Áreas de Conservación Hídrica Alto Pita, Antisana y Ponce Paluguillo para evaluar estrategias de FONAG entre 2014 y 2019. Comparó sitios gestionados y controles con parámetros físico-químicos, microbiológicos, biológicos y de hábitat, incluidos ICA, TSI, EPT, ABI y ASPT-E. Los ríos dentro de las áreas manejadas mostraron mejor calidad y menores fósforo total, fosfatos, DBO5 y coliformes fecales que los controles, evidencia compatible con efectos positivos de reducir presión ganadera y recuperar cobertura vegetal.</x:v>
      </x:c>
      <x:c r="J64" s="284" t="n">
        <x:v>2000</x:v>
      </x:c>
    </x:row>
    <x:row r="65" ht="88" customHeight="1">
      <x:c r="A65" s="276" t="str">
        <x:v>Análisis de la concentración y distribución de parámetros físico químicos del embalse Salve Faccha</x:v>
      </x:c>
      <x:c r="B65" s="276" t="str">
        <x:v>Andrea Estefania Llumiquinga Suntaxi</x:v>
      </x:c>
      <x:c r="C65" s="277" t="str">
        <x:v>2022</x:v>
      </x:c>
      <x:c r="D65" s="276" t="str">
        <x:v>Manejo de embalses</x:v>
      </x:c>
      <x:c r="E65" s="276" t="str">
        <x:v>Becas</x:v>
      </x:c>
      <x:c r="F65" s="276" t="str">
        <x:v>Finalizado</x:v>
      </x:c>
      <x:c r="G65" s="281" t="n">
        <x:v>-0.36518</x:v>
      </x:c>
      <x:c r="H65" s="281" t="n">
        <x:v>-78.172931</x:v>
      </x:c>
      <x:c r="I65" s="276" t="str">
        <x:v>El estudio analizó la concentración y distribución de parámetros físico-químicos en el embalse Salve Faccha, reservorio altoandino que aporta agua al abastecimiento de Quito. Combinó datos históricos, una hidroboya multiparamétrica y muestreos mensuales, con climogramas Walter-Lieth, rosas de viento, mapas de calor e isolíneas verticales. Identificó estratificaciones térmicas leves a 2,75 y 7,50 m y químicas entre 5 y 10 m en la época relativamente seca, influenciadas por el viento, sin anoxia ni estratificación marcada.</x:v>
      </x:c>
      <x:c r="J65" s="284"/>
    </x:row>
    <x:row r="66" ht="88" customHeight="1">
      <x:c r="A66" s="276" t="str">
        <x:v>Análisis de la concentración y distribución espacial de parámetros físicos en el embalse La Mica</x:v>
      </x:c>
      <x:c r="B66" s="276" t="str">
        <x:v>Andrea Paulina López Cando; Andrés Vinicio Yar Hernández</x:v>
      </x:c>
      <x:c r="C66" s="277" t="str">
        <x:v>2019</x:v>
      </x:c>
      <x:c r="D66" s="276" t="str">
        <x:v>Manejo de embalses</x:v>
      </x:c>
      <x:c r="E66" s="276" t="str">
        <x:v>Becas</x:v>
      </x:c>
      <x:c r="F66" s="276" t="str">
        <x:v>Finalizado</x:v>
      </x:c>
      <x:c r="G66" s="281" t="n">
        <x:v>-0.5430748283</x:v>
      </x:c>
      <x:c r="H66" s="281" t="n">
        <x:v>-78.2259230203</x:v>
      </x:c>
      <x:c r="I66" s="276" t="str">
        <x:v>El estudio analizó la distribución temporal y espacial de parámetros físicos en el embalse La Mica, Napo, con registros históricos de EPMAPS y siete campañas de muestreo en 15 puntos y distintas profundidades. Elaboró isolíneas anuales y gráficos tridimensionales para oxígeno disuelto, temperatura, pH, conductividad, sólidos, turbidez, color y clorofila-a. El embalse presentó estratificación térmica leve entre noviembre y mayo, mezcla completa de junio a octubre y transparencia principalmente influida por clorofila-a; entre 1998 y 2018 la temperatura media disminuyó.</x:v>
      </x:c>
      <x:c r="J66" s="284" t="n">
        <x:v>2300</x:v>
      </x:c>
    </x:row>
    <x:row r="67" ht="88" customHeight="1">
      <x:c r="A67" s="276" t="str">
        <x:v>Análisis del modelo de gestión de agua potable comunitaria de Yunguilla, parroquia Calacalí, perteneciente al cantón Quito, provincia de Pichincha, Ecuador</x:v>
      </x:c>
      <x:c r="B67" s="276" t="str">
        <x:v>Gabriela Elizabeth Camino Nuñez</x:v>
      </x:c>
      <x:c r="C67" s="277" t="str">
        <x:v>2026</x:v>
      </x:c>
      <x:c r="D67" s="276" t="str">
        <x:v>Análisis Socioeconómicos y Ambientales</x:v>
      </x:c>
      <x:c r="E67" s="276" t="str">
        <x:v>Becas</x:v>
      </x:c>
      <x:c r="F67" s="276" t="str">
        <x:v>Finalizado</x:v>
      </x:c>
      <x:c r="G67" s="281" t="n">
        <x:v>-0.004326</x:v>
      </x:c>
      <x:c r="H67" s="281" t="n">
        <x:v>-78.584211</x:v>
      </x:c>
      <x:c r="I67" s="276" t="str">
        <x:v>Analizó la sostenibilidad del modelo comunitario de agua potable de Yunguilla desde las dimensiones técnica, económica, sociocultural y ambiental. Combinó entrevistas, encuestas a hogares, observación, cartografía social y grupos focales, sistematizados con una matriz de cuádruple resultado. Encontró una organización comunitaria consolidada e infraestructura funcional, pero también deterioro de tuberías y válvulas, turbidez estacional, dependencia de un técnico y ausencia de fondo de emergencia; plantea reforzar mantenimiento, relevo técnico y gestión financiera.</x:v>
      </x:c>
      <x:c r="J67" s="284"/>
    </x:row>
    <x:row r="68" ht="88" customHeight="1">
      <x:c r="A68" s="276" t="str">
        <x:v>Caracterización del uso de hábitat de tres especies de roedores en páramos de la Reserva Ecológica Antisana</x:v>
      </x:c>
      <x:c r="B68" s="276" t="str">
        <x:v>Ariatna José Villarreal Jaramillo</x:v>
      </x:c>
      <x:c r="C68" s="277" t="str">
        <x:v>2019</x:v>
      </x:c>
      <x:c r="D68" s="276" t="str">
        <x:v>Ecología de páramo</x:v>
      </x:c>
      <x:c r="E68" s="276" t="str">
        <x:v>Becas</x:v>
      </x:c>
      <x:c r="F68" s="276" t="str">
        <x:v>Finalizado</x:v>
      </x:c>
      <x:c r="G68" s="281" t="n">
        <x:v>-0.47715</x:v>
      </x:c>
      <x:c r="H68" s="281" t="n">
        <x:v>-78.2201305556</x:v>
      </x:c>
      <x:c r="I68" s="276" t="str">
        <x:v>Caracterizó el uso de hábitat, movimientos y actividad de Akodon mollis, Phyllotis haggardi y Thomasomys paramorum en cuatro transectos de páramo de Antisana. Integró caracterización florística, captura e identificación de roedores, rastreo de desplazamientos y análisis de diversidad. A. mollis se asoció con pajonal y Chuquiraga, P. haggardi con áreas abiertas y Plantago rigida, y T. paramorum con arbustales; las preferencias observadas deben leerse con cautela por el bajo tamaño muestral.</x:v>
      </x:c>
      <x:c r="J68" s="284" t="n">
        <x:v>1270</x:v>
      </x:c>
    </x:row>
    <x:row r="69" ht="88" customHeight="1">
      <x:c r="A69" s="276" t="str">
        <x:v>Caracterización física y climatológica de la cuenca alta, media y baja de los ríos Machángara, Monjas y San Pedro del Distrito Metropolitano de Quito</x:v>
      </x:c>
      <x:c r="B69" s="276" t="str">
        <x:v>Yulexi Nicolle Resabala Loor; Darwin Mauricio Tipan Guano</x:v>
      </x:c>
      <x:c r="C69" s="277" t="str">
        <x:v>2025</x:v>
      </x:c>
      <x:c r="D69" s="276" t="str">
        <x:v>Hidrología</x:v>
      </x:c>
      <x:c r="E69" s="276" t="str">
        <x:v>Becas</x:v>
      </x:c>
      <x:c r="F69" s="276" t="str">
        <x:v>Finalizado</x:v>
      </x:c>
      <x:c r="G69" s="281" t="n">
        <x:v>-0.230794</x:v>
      </x:c>
      <x:c r="H69" s="281" t="n">
        <x:v>-78.506778</x:v>
      </x:c>
      <x:c r="I69" s="276" t="str">
        <x:v>Caracterizó las cuencas alta, media y baja de los ríos Machángara, Monjas y San Pedro para identificar sectores vulnerables y de manejo. Integró análisis morfométrico, climático, de cobertura y uso del suelo con QGIS, RStudio y registros meteorológicos de 2019 a 2023. Las cuencas son alargadas y tienen densidades de drenaje bajas a moderadas, mientras que las zonas altas muestran mayor susceptibilidad a escorrentía, erosión y deslizamientos; Machángara y Monjas evidencian mayor urbanización y San Pedro conserva más cobertura natural.</x:v>
      </x:c>
      <x:c r="J69" s="284" t="n">
        <x:v>0</x:v>
      </x:c>
    </x:row>
    <x:row r="70" ht="88" customHeight="1">
      <x:c r="A70" s="276" t="str">
        <x:v>Caracterización isotópica de un evento de crecida sobre la microcuenca 1 del río Jatunhuaycu</x:v>
      </x:c>
      <x:c r="B70" s="276" t="str">
        <x:v>Luis Felipe Silva Palmay</x:v>
      </x:c>
      <x:c r="C70" s="277" t="str">
        <x:v>2019</x:v>
      </x:c>
      <x:c r="D70" s="276" t="str">
        <x:v>Hidrología</x:v>
      </x:c>
      <x:c r="E70" s="276" t="str">
        <x:v>Becas</x:v>
      </x:c>
      <x:c r="F70" s="276" t="str">
        <x:v>Finalizado</x:v>
      </x:c>
      <x:c r="G70" s="281" t="n">
        <x:v>-0.4885804574</x:v>
      </x:c>
      <x:c r="H70" s="281" t="n">
        <x:v>-78.2393485821</x:v>
      </x:c>
      <x:c r="I70" s="276" t="str">
        <x:v>Caracterizó las señales de δ18O y δ2H de lluvia, escorrentía y agua de dos niveles de suelo durante una crecida en la microcuenca 1 del río Jatunhuaycu. Combinó monitoreo hidrológico y análisis isotópico para separar componentes de agua de evento y preevento. Las señales del suelo se relacionaron con la escorrentía y la fracción de preevento representó entre 89 % y 99 % del caudal, lo que indica predominio de agua almacenada en el sistema.</x:v>
      </x:c>
      <x:c r="J70" s="284" t="n">
        <x:v>2177.25</x:v>
      </x:c>
    </x:row>
    <x:row r="71" ht="88" customHeight="1">
      <x:c r="A71" s="276" t="str">
        <x:v>Caracterización morfológica y molecular del agente causal de la muerte descendente en el árbol de papel (Polylepis incana)</x:v>
      </x:c>
      <x:c r="B71" s="276" t="str">
        <x:v>Ariana Ivette Zumba Montalvo</x:v>
      </x:c>
      <x:c r="C71" s="277" t="str">
        <x:v>2026</x:v>
      </x:c>
      <x:c r="D71" s="276" t="str">
        <x:v>Ecología de páramo</x:v>
      </x:c>
      <x:c r="E71" s="276" t="str">
        <x:v>Becas</x:v>
      </x:c>
      <x:c r="F71" s="276" t="str">
        <x:v>Finalizado</x:v>
      </x:c>
      <x:c r="G71" s="281" t="n">
        <x:v>-0.499092</x:v>
      </x:c>
      <x:c r="H71" s="281" t="n">
        <x:v>-78.214425</x:v>
      </x:c>
      <x:c r="I71" s="276" t="str">
        <x:v>Caracterizó el agente asociado a la muerte descendente de Polylepis incana en Ponce Paluguillo mediante aislamiento y cultivo, microscopía, secuenciación de ITS, β-tubulina y TEF1-α, filogenia multilocus y ensayos de patogenicidad. El aislado UCEFCAAZ-F1 fue identificado como Fusarium proliferatum. Las plantas inoculadas alcanzaron 61 % de severidad final y los controles permanecieron asintomáticos, aportando evidencia experimental de su patogenicidad.</x:v>
      </x:c>
      <x:c r="J71" s="284" t="n">
        <x:v>1665.76</x:v>
      </x:c>
    </x:row>
    <x:row r="72" ht="88" customHeight="1">
      <x:c r="A72" s="276" t="str">
        <x:v>Caracterización morfométrica cuencas laderas del Pichincha: caracterización morfométrica cuenca Rumipamba</x:v>
      </x:c>
      <x:c r="B72" s="276" t="str">
        <x:v>Jordan Daniel Loachamin Quinatoa</x:v>
      </x:c>
      <x:c r="C72" s="277" t="str">
        <x:v>2025</x:v>
      </x:c>
      <x:c r="D72" s="276" t="str">
        <x:v>Hidrología</x:v>
      </x:c>
      <x:c r="E72" s="276" t="str">
        <x:v>Becas</x:v>
      </x:c>
      <x:c r="F72" s="276" t="str">
        <x:v>Finalizado</x:v>
      </x:c>
      <x:c r="G72" s="281" t="n">
        <x:v>-0.185304</x:v>
      </x:c>
      <x:c r="H72" s="281" t="n">
        <x:v>-78.519281</x:v>
      </x:c>
      <x:c r="I72" s="276" t="str">
        <x:v>Caracterizó la morfometría de la cuenca Rumipamba en las laderas del Pichincha para describir su comportamiento físico e hidrológico. Delimitó el área, instaló nueve puntos de control y realizó un vuelo con dron de más de 5.000 imágenes para generar un modelo digital de elevación y ortomosaico; después calculó parámetros en QGIS y SAGA GIS. La cuenca, de 577 ha, presentó forma alargada, pendiente media de 37,9° y densidad de drenaje de 2,2 km/km², rasgos compatibles con escorrentía rápida y erosión.</x:v>
      </x:c>
      <x:c r="J72" s="284"/>
    </x:row>
    <x:row r="73" ht="88" customHeight="1">
      <x:c r="A73" s="276" t="str">
        <x:v>Contaminación por microplásticos en lagos tropicales altoandinos: perspectivas sobre su origen y distribución en zonas remotas</x:v>
      </x:c>
      <x:c r="B73" s="276" t="str">
        <x:v>Mariuxi de los Angeles Ramos Araujo</x:v>
      </x:c>
      <x:c r="C73" s="277" t="str">
        <x:v>2022</x:v>
      </x:c>
      <x:c r="D73" s="276" t="str">
        <x:v>Análisis Socioeconómicos y Ambientales</x:v>
      </x:c>
      <x:c r="E73" s="276" t="str">
        <x:v>Becas</x:v>
      </x:c>
      <x:c r="F73" s="276" t="str">
        <x:v>Finalizado</x:v>
      </x:c>
      <x:c r="G73" s="281" t="n">
        <x:v>-0.392246</x:v>
      </x:c>
      <x:c r="H73" s="281" t="n">
        <x:v>-78.152676</x:v>
      </x:c>
      <x:c r="I73" s="276" t="str">
        <x:v>Cuantificó y caracterizó microplásticos en agua superficial y sedimentos de cinco lagos altoandinos del sistema Papallacta–Oyacachi. Analizó abundancia, tamaño, color, forma y composición polimérica, además de posibles fuentes locales y atmosféricas. Registró microplásticos en ambos medios, con predominio de fibras y películas y presencia de celofán, polietileno y polipropileno; el estudio plantea que pesca, campismo, senderismo y transporte atmosférico podrían contribuir a los aportes.</x:v>
      </x:c>
      <x:c r="J73" s="284"/>
    </x:row>
    <x:row r="74" ht="88" customHeight="1">
      <x:c r="A74" s="276" t="str">
        <x:v>Desarrollo del Enfoque de Múltiples-Hipótesis para la Conceptualización de Procesos Hidrológicos en una cuenca de Páramo Andino del Norte del Ecuador usando Modelos de Lluvia-Escorrentía</x:v>
      </x:c>
      <x:c r="B74" s="276" t="str">
        <x:v>Magaly Estefanía García González; Karla Tatiana Reinoso Luzuriaga</x:v>
      </x:c>
      <x:c r="C74" s="277" t="str">
        <x:v>2022</x:v>
      </x:c>
      <x:c r="D74" s="276" t="str">
        <x:v>Hidrología</x:v>
      </x:c>
      <x:c r="E74" s="276" t="str">
        <x:v>Becas</x:v>
      </x:c>
      <x:c r="F74" s="276" t="str">
        <x:v>Finalizado</x:v>
      </x:c>
      <x:c r="G74" s="281" t="n">
        <x:v>-0.496249</x:v>
      </x:c>
      <x:c r="H74" s="281" t="n">
        <x:v>-78.253563</x:v>
      </x:c>
      <x:c r="I74" s="276" t="str">
        <x:v>Desarrolló y contrastó hipótesis conceptuales de procesos hidrológicos para dos microcuencas de páramo de Jatunhuaycu mediante modelos lluvia–escorrentía. Calibró y evaluó configuraciones de reservorios, funciones de transferencia y criterios de eficiencia e información frente a caudales observados. Aunque las microcuencas eran cercanas y de tamaño similar, requirieron conceptualizaciones distintas: tres reservorios en paralelo con pérdida para M2 y tres en paralelo para M3, lo que sugiere efectos de geología, infiltración y flujos rápidos y lentos.</x:v>
      </x:c>
      <x:c r="J74" s="284" t="n">
        <x:v>2697</x:v>
      </x:c>
    </x:row>
    <x:row r="75" ht="88" customHeight="1">
      <x:c r="A75" s="276" t="str">
        <x:v>Determinación de perímetros de protección para las captaciones de agua subterránea de los sistemas acuíferos del Distrito Metropolitano de Quito como herramienta de gestión del recurso hídrico</x:v>
      </x:c>
      <x:c r="B75" s="276" t="str">
        <x:v>Felipe Sebastián Castillo Realpe</x:v>
      </x:c>
      <x:c r="C75" s="277" t="str">
        <x:v>2017</x:v>
      </x:c>
      <x:c r="D75" s="276" t="str">
        <x:v>Hidrogeología</x:v>
      </x:c>
      <x:c r="E75" s="276" t="str">
        <x:v>Becas</x:v>
      </x:c>
      <x:c r="F75" s="276" t="str">
        <x:v>Finalizado</x:v>
      </x:c>
      <x:c r="G75" s="281" t="n">
        <x:v>-0.184665</x:v>
      </x:c>
      <x:c r="H75" s="281" t="n">
        <x:v>-78.488304</x:v>
      </x:c>
      <x:c r="I75" s="276" t="str">
        <x:v>Delimitó zonas vulnerables a contaminación y perímetros de protección para captaciones de agua subterránea del Distrito Metropolitano de Quito. Aplicó DRASTIC en ArcGIS, lo contrastó con GOD y diseñó perímetros con los métodos de Wyssling y Jacobs &amp; Bear, considerando fuentes potenciales de contaminación. DRASTIC estimó 1.886,6 ha de vulnerabilidad baja y 707,46 ha alta; las zonas más vulnerables incluyeron sectores como San José del Inca, La Magdalena, Solanda y Las Cuadras.</x:v>
      </x:c>
      <x:c r="J75" s="284" t="n">
        <x:v>300</x:v>
      </x:c>
    </x:row>
    <x:row r="76" ht="88" customHeight="1">
      <x:c r="A76" s="276" t="str">
        <x:v>Efecto de la hidrología sobre el contenido de Carbono Orgánico Disuelto (DOC) en cuatro turberas altoandinas con diferentes grados de intervención</x:v>
      </x:c>
      <x:c r="B76" s="276" t="str">
        <x:v>Geordy Alexander Guerrero Minaya</x:v>
      </x:c>
      <x:c r="C76" s="277" t="str">
        <x:v>2022</x:v>
      </x:c>
      <x:c r="D76" s="276" t="str">
        <x:v>Cambio climático y global</x:v>
      </x:c>
      <x:c r="E76" s="276" t="str">
        <x:v>Becas</x:v>
      </x:c>
      <x:c r="F76" s="276" t="str">
        <x:v>Finalizado</x:v>
      </x:c>
      <x:c r="G76" s="281" t="n">
        <x:v>-0.518977</x:v>
      </x:c>
      <x:c r="H76" s="281" t="n">
        <x:v>-78.284006</x:v>
      </x:c>
      <x:c r="I76" s="276" t="str">
        <x:v>Analizó los controles topográficos e hidrometeorológicos del carbono orgánico disuelto en cuatro turberas altoandinas de Antisana y Alto Pita con distintos niveles de intervención. Relacionó concentraciones de DOC con precipitación, temperatura, color, sólidos disueltos y condiciones de drenaje. La topografía no explicó las concentraciones y los controles fueron específicos de cada sitio: precipitación en Jatunhuaycu y Tungurahua, precipitación antecedente en Chamilco y precipitación junto con drenaje en Pugllohuma.</x:v>
      </x:c>
      <x:c r="J76" s="284"/>
    </x:row>
    <x:row r="77" ht="88" customHeight="1">
      <x:c r="A77" s="276" t="str">
        <x:v>Efecto de la morfología de las cuencas sobre la dinámica espacio temporal de humedales alto andino</x:v>
      </x:c>
      <x:c r="B77" s="276" t="str">
        <x:v>David Ismael Guaña Caiza</x:v>
      </x:c>
      <x:c r="C77" s="277" t="str">
        <x:v>2022</x:v>
      </x:c>
      <x:c r="D77" s="276" t="str">
        <x:v>Hidrología</x:v>
      </x:c>
      <x:c r="E77" s="276" t="str">
        <x:v>Becas</x:v>
      </x:c>
      <x:c r="F77" s="276" t="str">
        <x:v>Finalizado</x:v>
      </x:c>
      <x:c r="G77" s="281" t="n">
        <x:v>-0.385827</x:v>
      </x:c>
      <x:c r="H77" s="281" t="n">
        <x:v>-78.147369</x:v>
      </x:c>
      <x:c r="I77" s="276" t="str">
        <x:v>Determinó la variación espacio-temporal del área superficial de humedales altoandinos y su relación con la morfología de cuencas del sistema Ñucanchi Turubamba, Papallacta–Oyacachi. Procesó imágenes Sentinel-1 en Google Earth Engine con clasificación Otsu, calculó área inundada y frecuencia de inundación, y aplicó análisis de componentes principales y agrupamiento. La extensión inundada varió entre 0,6 % y 42,6 % de las cuencas, con un máximo en mayo, y se identificaron tres grupos con dinámicas diferenciadas.</x:v>
      </x:c>
      <x:c r="J77" s="284"/>
    </x:row>
    <x:row r="78" ht="88" customHeight="1">
      <x:c r="A78" s="276" t="str">
        <x:v>Estimation of Deer Population by Means of Indirect Methods: Distance method, Fecal Accumulation Rate, Fecal Standing Crop at the Antisana Paramo in Ecuador</x:v>
      </x:c>
      <x:c r="B78" s="276" t="str">
        <x:v>Henry José Herrera Palacios</x:v>
      </x:c>
      <x:c r="C78" s="277" t="str">
        <x:v>2019</x:v>
      </x:c>
      <x:c r="D78" s="276" t="str">
        <x:v>Ecología de páramo</x:v>
      </x:c>
      <x:c r="E78" s="276" t="str">
        <x:v>Becas</x:v>
      </x:c>
      <x:c r="F78" s="276" t="str">
        <x:v>Finalizado</x:v>
      </x:c>
      <x:c r="G78" s="281" t="n">
        <x:v>-0.487926</x:v>
      </x:c>
      <x:c r="H78" s="281" t="n">
        <x:v>-78.210394</x:v>
      </x:c>
      <x:c r="I78" s="276" t="str">
        <x:v>Estimó la población de venado de cola blanca en el páramo del Antisana mediante conteos desde puntos de observación y tres métodos indirectos: acumulación de heces, permanencia de heces y muestreo por distancias. Los cálculos variaron entre 668,55 y 956,67 individuos según el método, mientras el conteo directo fijó un mínimo de 760. El muestreo por distancias y el recuento de heces resultaron los métodos más útiles para seguimiento; los venados mostraron mayor uso de vegetación herbácea húmeda y seca.</x:v>
      </x:c>
      <x:c r="J78" s="284" t="n">
        <x:v>540</x:v>
      </x:c>
    </x:row>
    <x:row r="79" ht="88" customHeight="1">
      <x:c r="A79" s="276" t="str">
        <x:v>Estudio de la influencia de la morfología del embalse Salve Faccha en su estado trófico actual</x:v>
      </x:c>
      <x:c r="B79" s="276" t="str">
        <x:v>Jonathan Paúl Cabascango Gualacata; Daniel Fernando Guachamín Andrade</x:v>
      </x:c>
      <x:c r="C79" s="277" t="str">
        <x:v>2018</x:v>
      </x:c>
      <x:c r="D79" s="276" t="str">
        <x:v>Manejo de embalses</x:v>
      </x:c>
      <x:c r="E79" s="276" t="str">
        <x:v>Becas</x:v>
      </x:c>
      <x:c r="F79" s="276" t="str">
        <x:v>Finalizado</x:v>
      </x:c>
      <x:c r="G79" s="281" t="n">
        <x:v>-0.367911</x:v>
      </x:c>
      <x:c r="H79" s="281" t="n">
        <x:v>-78.165984</x:v>
      </x:c>
      <x:c r="I79" s="276" t="str">
        <x:v>Estudió la relación entre morfología, evolución y estado trófico del embalse Salve Faccha mediante batimetría con ecosonda en 51 transectos, ortofotografías y análisis físico-químicos de agua. Calculó parámetros morfométricos y aplicó el índice trófico modificado de Toledo Jr. y criterios OECD. Para 2017 el volumen se había reducido cerca de 3 % respecto de 2007, principalmente en la zona lacustre, y el embalse fue clasificado como eutrófico.</x:v>
      </x:c>
      <x:c r="J79" s="284" t="n">
        <x:v>1436</x:v>
      </x:c>
    </x:row>
    <x:row r="80" ht="88" customHeight="1">
      <x:c r="A80" s="276" t="str">
        <x:v>Evaluación de la edad del resto de poda de Lantana camara como material de empaque en un sistema de biofiltración para aguas residuales domésticas</x:v>
      </x:c>
      <x:c r="B80" s="276" t="str">
        <x:v>David Andrés Moreno Jaya</x:v>
      </x:c>
      <x:c r="C80" s="277" t="str">
        <x:v>2019</x:v>
      </x:c>
      <x:c r="D80" s="276" t="str">
        <x:v>Análisis Socioeconómicos y Ambientales</x:v>
      </x:c>
      <x:c r="E80" s="276" t="str">
        <x:v>Becas</x:v>
      </x:c>
      <x:c r="F80" s="276" t="str">
        <x:v>Finalizado</x:v>
      </x:c>
      <x:c r="G80" s="281" t="n">
        <x:v>-0.202909</x:v>
      </x:c>
      <x:c r="H80" s="281" t="n">
        <x:v>-78.490845</x:v>
      </x:c>
      <x:c r="I80" s="276" t="str">
        <x:v>Evaluó el efecto de la edad y granulometría de restos de poda de Lantana camara en biofiltros de aguas residuales domésticas a escala de laboratorio. Operó cuatro reactores con materiales gruesos o finos y con o sin espinas, y monitoreó DQO semanalmente junto con pH, temperatura, color y turbidez. El material fino sin espinas obtuvo la mayor remoción media de DQO, 60,59 %, y todos los biofiltros estabilizados superaron 54 %.</x:v>
      </x:c>
      <x:c r="J80" s="284" t="n">
        <x:v>2728</x:v>
      </x:c>
    </x:row>
    <x:row r="81" ht="88" customHeight="1">
      <x:c r="A81" s="276" t="str">
        <x:v>Evaluación de la herramienta de simulación del recurso hídrico Hydro-BID para la cuantificación de la disponibilidad de agua en la cuenca alta del río Guayllabamba y unidades hídricas aportantes de agua para el Distrito Metropolitano de Quito</x:v>
      </x:c>
      <x:c r="B81" s="276" t="str">
        <x:v>Viviana Paola Bravo Ortiz</x:v>
      </x:c>
      <x:c r="C81" s="277" t="str">
        <x:v>2020</x:v>
      </x:c>
      <x:c r="D81" s="276" t="str">
        <x:v>Hidrología</x:v>
      </x:c>
      <x:c r="E81" s="276" t="str">
        <x:v>Becas</x:v>
      </x:c>
      <x:c r="F81" s="276" t="str">
        <x:v>Finalizado</x:v>
      </x:c>
      <x:c r="G81" s="281" t="n">
        <x:v>-0.517488</x:v>
      </x:c>
      <x:c r="H81" s="281" t="n">
        <x:v>-78.219954</x:v>
      </x:c>
      <x:c r="I81" s="276" t="str">
        <x:v>Evaluó Hydro-BID para cuantificar la disponibilidad hídrica en la cuenca alta del Guayllabamba y sus unidades aportantes al Distrito Metropolitano de Quito. Alimentó y calibró el modelo con precipitación, temperatura y caudales diarios, y contrastó las simulaciones con observaciones de estaciones y unidades hidrográficas. Reprodujo aceptablemente caudales medios diarios, pero tendió a sobreestimar picos altos y subestimar caudales bajos, lo que evidencia la necesidad de mejorar insumos de monitoreo y representar aportes glaciares.</x:v>
      </x:c>
      <x:c r="J81" s="284" t="n">
        <x:v>1487</x:v>
      </x:c>
    </x:row>
    <x:row r="82" ht="88" customHeight="1">
      <x:c r="A82" s="276" t="str">
        <x:v>Evaluación de la respuesta fenológica y morfológica de 13 especies de plantas de páramo ante un calentamiento experimental</x:v>
      </x:c>
      <x:c r="B82" s="276" t="str">
        <x:v>Mauricio Gabriel Sáenz Lituma</x:v>
      </x:c>
      <x:c r="C82" s="277" t="str">
        <x:v>2019</x:v>
      </x:c>
      <x:c r="D82" s="276" t="str">
        <x:v>Cambio climático y global</x:v>
      </x:c>
      <x:c r="E82" s="276" t="str">
        <x:v>Becas</x:v>
      </x:c>
      <x:c r="F82" s="276" t="str">
        <x:v>Finalizado</x:v>
      </x:c>
      <x:c r="G82" s="281" t="n">
        <x:v>-0.473508</x:v>
      </x:c>
      <x:c r="H82" s="281" t="n">
        <x:v>-78.184691</x:v>
      </x:c>
      <x:c r="I82" s="276" t="str">
        <x:v>Evaluó la respuesta fenológica y morfológica de 13 especies de plantas del páramo de Antisana ante calentamiento experimental en cámaras abiertas. Registró fases reproductivas y las comparó con datos climáticos y plantas fuera de las cámaras. No encontró un desplazamiento fenológico general significativo, aunque algunas fenofases se adelantaron hasta dos meses bajo calentamiento y la producción de estructuras reproductivas fue menor; la precipitación aparece como un posible factor relevante.</x:v>
      </x:c>
      <x:c r="J82" s="284" t="n">
        <x:v>2100</x:v>
      </x:c>
    </x:row>
    <x:row r="83" ht="88" customHeight="1">
      <x:c r="A83" s="276" t="str">
        <x:v>Evaluación de riesgos por la propagación del volumen de avenida de la Represa Rumipamba Alto ubicado en el barrio la Primavera, parroquia Belisario Quevedo en el Centro-Norte de la Ciudad de Quito</x:v>
      </x:c>
      <x:c r="B83" s="276" t="str">
        <x:v>María José Haro Morales; José Alexander Saldarriaga Ibarra</x:v>
      </x:c>
      <x:c r="C83" s="277" t="str">
        <x:v>2026</x:v>
      </x:c>
      <x:c r="D83" s="276" t="str">
        <x:v>Manejo de embalses</x:v>
      </x:c>
      <x:c r="E83" s="276" t="str">
        <x:v>Becas</x:v>
      </x:c>
      <x:c r="F83" s="276" t="str">
        <x:v>Finalizado</x:v>
      </x:c>
      <x:c r="G83" s="281" t="n">
        <x:v>-0.178598</x:v>
      </x:c>
      <x:c r="H83" s="281" t="n">
        <x:v>-78.509722</x:v>
      </x:c>
      <x:c r="I83" s="276" t="str">
        <x:v>Evaluó la propagación de una onda de avenida ante escenarios hipotéticos de falla de la represa Rumipamba Alto en Quito. Integró GNSS-RTK, fotogrametría con dron, modelos digitales de terreno, análisis hidrológico y modelación hidráulica bidimensional en Iber para estimar extensión, calados, velocidades y tiempos de llegada. La zonificación de peligro estimó áreas inundadas desde aproximadamente 0,23 km² hasta 2,94 km² en el escenario límite y permitió una evaluación preliminar de exposición.</x:v>
      </x:c>
      <x:c r="J83" s="284" t="n">
        <x:v>1805.5</x:v>
      </x:c>
    </x:row>
    <x:row r="84" ht="88" customHeight="1">
      <x:c r="A84" s="276" t="str">
        <x:v>Evaluación de tres sustratos y un control de una especie de Polylepis (Polylepis incana) para la restauración de un ecosistema nativo en el Área de Protección Hídrica Ponce Paluguillo</x:v>
      </x:c>
      <x:c r="B84" s="276" t="str">
        <x:v>Alcides Guzman</x:v>
      </x:c>
      <x:c r="C84" s="277" t="str">
        <x:v>2025</x:v>
      </x:c>
      <x:c r="D84" s="276" t="str">
        <x:v>Restauración de la cobertura vegetal</x:v>
      </x:c>
      <x:c r="E84" s="276" t="str">
        <x:v>Becas</x:v>
      </x:c>
      <x:c r="F84" s="276" t="str">
        <x:v>Finalizado</x:v>
      </x:c>
      <x:c r="G84" s="281" t="n">
        <x:v>-0.152846</x:v>
      </x:c>
      <x:c r="H84" s="281" t="n">
        <x:v>-78.213567</x:v>
      </x:c>
      <x:c r="I84" s="276" t="str">
        <x:v>Evaluó cuatro tratamientos de sustrato para propagar esquejes de Polylepis incana en el vivero de Ponce Paluguillo como apoyo a la restauración. Comparó mezclas de tierra negra, tierra de páramo, hojarasca y cascajo mediante propiedades físico-químicas, densidad, nutrientes y respuesta de las plántulas. Los tratamientos no difirieron en pH, conductividad, potencial redox ni cenizas, pero sí en densidad, nitrógeno y fósforo; el informe destaca la importancia de porosidad, baja compactación y materia orgánica para el establecimiento inicial.</x:v>
      </x:c>
      <x:c r="J84" s="284"/>
    </x:row>
    <x:row r="85" ht="88" customHeight="1">
      <x:c r="A85" s="276" t="str">
        <x:v>Evaluación del servicio ecosistémico correspondiente a la producción de agua en la cuenca alta del río Guayllabamba utilizando el modelo computacional InVEST</x:v>
      </x:c>
      <x:c r="B85" s="276" t="str">
        <x:v>Sandra Janeth Torres Paguay</x:v>
      </x:c>
      <x:c r="C85" s="277" t="str">
        <x:v>2018</x:v>
      </x:c>
      <x:c r="D85" s="276" t="str">
        <x:v>Economía Ecológica y Economía Ambiental</x:v>
      </x:c>
      <x:c r="E85" s="276" t="str">
        <x:v>Becas</x:v>
      </x:c>
      <x:c r="F85" s="276" t="str">
        <x:v>Finalizado</x:v>
      </x:c>
      <x:c r="G85" s="281" t="n">
        <x:v>-0.322179</x:v>
      </x:c>
      <x:c r="H85" s="281" t="n">
        <x:v>-78.427593</x:v>
      </x:c>
      <x:c r="I85" s="276" t="str">
        <x:v>Evaluó el servicio ecosistémico de producción de agua en la cuenca alta del Guayllabamba con el modelo InVEST. Integró una red de 133 pluviómetros, precipitación satelital corregida, evapotranspiración, caudales de 12 subcuencas y cobertura y uso del suelo en un balance hídrico anual espacialmente distribuido. Generó mapas de rendimiento hídrico y estimó valores de hasta 1.500 mm/año en zonas altas cercanas a Antisana, Cayambe y Pichincha, resaltando la importancia de corregir información global con observaciones de campo.</x:v>
      </x:c>
      <x:c r="J85" s="284" t="n">
        <x:v>2810</x:v>
      </x:c>
    </x:row>
    <x:row r="86" ht="88" customHeight="1">
      <x:c r="A86" s="276" t="str">
        <x:v>Evaluación espacial de la dinámica de sedimentos y de color real en los ríos Jatunhuayco y Antisana del sistema de agua La Mica Quito Sur</x:v>
      </x:c>
      <x:c r="B86" s="276" t="str">
        <x:v>María Cristina Alarcón Espinoza; Jhonny Alexander Flores Ruales</x:v>
      </x:c>
      <x:c r="C86" s="277" t="str">
        <x:v>2026</x:v>
      </x:c>
      <x:c r="D86" s="276" t="str">
        <x:v>Hidrología</x:v>
      </x:c>
      <x:c r="E86" s="276" t="str">
        <x:v>Becas</x:v>
      </x:c>
      <x:c r="F86" s="276" t="str">
        <x:v>Finalizado</x:v>
      </x:c>
      <x:c r="G86" s="281" t="n">
        <x:v>-0.502216</x:v>
      </x:c>
      <x:c r="H86" s="281" t="n">
        <x:v>-78.246818</x:v>
      </x:c>
      <x:c r="I86" s="276" t="str">
        <x:v>Evaluó la dinámica de sedimentos y el color real en los ríos Jatunhuayco y Antisana del sistema La Mica–Quito Sur. Realizó campañas de campo, aforos con micromolinete y dilución química, análisis de fracciones de sólidos, turbidez, color, pH, temperatura y oxígeno, y procesó los datos en RStudio y QGIS. Jatunhuayco presentó mayores sedimentos y variabilidad de color, mientras Antisana fue más estable, comportamiento que la fuente asocia a su origen glaciar y a aportes de ojos de agua.</x:v>
      </x:c>
      <x:c r="J86" s="284"/>
    </x:row>
    <x:row r="87" ht="88" customHeight="1">
      <x:c r="A87" s="276" t="str">
        <x:v>Flujo génico entre poblaciones de Polylepis incana Kunth. y P. racemosa Ruiz &amp; Pav. del Área de Conservación de Paluguillo en la Estación Científica Agua y Páramo en Pichincha</x:v>
      </x:c>
      <x:c r="B87" s="276" t="str">
        <x:v>Dominique Alejandra Vargas Salinas</x:v>
      </x:c>
      <x:c r="C87" s="277" t="str">
        <x:v>2021</x:v>
      </x:c>
      <x:c r="D87" s="276" t="str">
        <x:v>Ecología de páramo</x:v>
      </x:c>
      <x:c r="E87" s="276" t="str">
        <x:v>Becas</x:v>
      </x:c>
      <x:c r="F87" s="276" t="str">
        <x:v>Finalizado</x:v>
      </x:c>
      <x:c r="G87" s="281" t="n">
        <x:v>-0.161739</x:v>
      </x:c>
      <x:c r="H87" s="281" t="n">
        <x:v>-78.222406</x:v>
      </x:c>
      <x:c r="I87" s="276" t="str">
        <x:v>Determinó si existe flujo génico entre Polylepis incana y P. racemosa en Paluguillo y la Estación Científica Agua y Páramo. Genotipó 60 individuos de seis poblaciones con ocho marcadores ISSR y comparó forma foliar mediante morfometría geométrica. Encontró baja diversidad genética, 98 % de bandas polimórficas y mayor variabilidad dentro que entre poblaciones; no identificó híbridos, pero estimó intercambio génico cercano a 0,9 individuos por generación.</x:v>
      </x:c>
      <x:c r="J87" s="284" t="n">
        <x:v>2938</x:v>
      </x:c>
    </x:row>
    <x:row r="88" ht="88" customHeight="1">
      <x:c r="A88" s="276" t="str">
        <x:v>Identificación de los controladores hidrometeorológicos en la concentración de Carbono Orgánico Disuelto (COD) en humedales del páramo del norte de Ecuador</x:v>
      </x:c>
      <x:c r="B88" s="276" t="str">
        <x:v>Christian Ricardo Naranjo Ulloa; Andrea Marcela Calle Cabrera</x:v>
      </x:c>
      <x:c r="C88" s="277" t="str">
        <x:v>2022</x:v>
      </x:c>
      <x:c r="D88" s="276" t="str">
        <x:v>Cambio climático y global</x:v>
      </x:c>
      <x:c r="E88" s="276" t="str">
        <x:v>Becas</x:v>
      </x:c>
      <x:c r="F88" s="276" t="str">
        <x:v>Finalizado</x:v>
      </x:c>
      <x:c r="G88" s="281" t="n">
        <x:v>-0.5</x:v>
      </x:c>
      <x:c r="H88" s="281" t="n">
        <x:v>-78.2</x:v>
      </x:c>
      <x:c r="I88" s="276" t="str">
        <x:v>Identificó factores hidrometeorológicos asociados a las concentraciones de carbono orgánico disuelto en humedales de páramo, incluidos Jatunhuaycu, Pugllohuma y Tungurahua. Revisó características de las series, condiciones antecedentes y relaciones mediante correlaciones y regresiones entre COD/DOC, caudal, precipitación y variables climáticas. Las correlaciones más consistentes se dieron con caudal y precipitación, salvo una relación débil con precipitación en Jatunhuaycu, aportando criterios para conservación, calidad de agua y balance de carbono.</x:v>
      </x:c>
      <x:c r="J88" s="284" t="n">
        <x:v>0</x:v>
      </x:c>
    </x:row>
    <x:row r="89" ht="88" customHeight="1">
      <x:c r="A89" s="276" t="str">
        <x:v>Identificación taxonómica de las especies de cianobacterias y microalgas del embalse Salve Faccha, perteneciente a la Red de Agua Potable Papallacta, Parque Nacional Cayambe-Coca, Cordillera Real del Ecuador</x:v>
      </x:c>
      <x:c r="B89" s="276" t="str">
        <x:v>Kelly Nicole López Valdivieso</x:v>
      </x:c>
      <x:c r="C89" s="277" t="str">
        <x:v>2019</x:v>
      </x:c>
      <x:c r="D89" s="276" t="str">
        <x:v>Manejo de embalses</x:v>
      </x:c>
      <x:c r="E89" s="276" t="str">
        <x:v>Becas</x:v>
      </x:c>
      <x:c r="F89" s="276" t="str">
        <x:v>Finalizado</x:v>
      </x:c>
      <x:c r="G89" s="281" t="n">
        <x:v>-0.371826</x:v>
      </x:c>
      <x:c r="H89" s="281" t="n">
        <x:v>-78.169701</x:v>
      </x:c>
      <x:c r="I89" s="276" t="str">
        <x:v>Identificó cianobacterias y microalgas del embalse Salve Faccha mediante muestreo, observación directa, aislamiento, caracterización y elaboración de un atlas taxonómico con microscopía. Registró comunidades típicas de ecosistemas altoandinos, con Chlorophyta, Charophyta, Ochrophyta, Cyanobacteria y Chrysophyta. El predominio de clorofitas, diatomeas y cianobacterias, junto con taxones como Dolichospermum y Euglena, fue interpretado como señal para mantener seguimiento del enriquecimiento trófico.</x:v>
      </x:c>
      <x:c r="J89" s="284" t="n">
        <x:v>1960</x:v>
      </x:c>
    </x:row>
    <x:row r="90" ht="88" customHeight="1">
      <x:c r="A90" s="276" t="str">
        <x:v>Importancia del río glaciar en la diversificación de comunidades de carábidos de altura bajo un contexto de cambio climático</x:v>
      </x:c>
      <x:c r="B90" s="276" t="str">
        <x:v>Fernando Josué Franco Salgado</x:v>
      </x:c>
      <x:c r="C90" s="277" t="str">
        <x:v>2020</x:v>
      </x:c>
      <x:c r="D90" s="276" t="str">
        <x:v>Cambio climático y global</x:v>
      </x:c>
      <x:c r="E90" s="276" t="str">
        <x:v>Becas</x:v>
      </x:c>
      <x:c r="F90" s="276" t="str">
        <x:v>Finalizado</x:v>
      </x:c>
      <x:c r="G90" s="281" t="n">
        <x:v>-0.476405</x:v>
      </x:c>
      <x:c r="H90" s="281" t="n">
        <x:v>-78.205883</x:v>
      </x:c>
      <x:c r="I90" s="276" t="str">
        <x:v>Investigó cómo la cercanía a un río glaciar y las condiciones ambientales se relacionan con la diversidad de carábidos de altura en la ladera suroccidental del Antisana. Comparó comunidades en puntos altos cercanos y alejados del río mediante muestreos, identificación de especímenes y análisis de diversidad y microclima. El punto alto cercano al río fue el más diverso y el punto alto lejano presentó mayor recambio de especies; también se reportaron posibles ampliaciones de distribución para cuatro especies.</x:v>
      </x:c>
      <x:c r="J90" s="284" t="n">
        <x:v>340</x:v>
      </x:c>
    </x:row>
    <x:row r="91" ht="88" customHeight="1">
      <x:c r="A91" s="276" t="str">
        <x:v>Influencia de factores fisicoquímicos sobre la comunidad de microalgas en lagos altoandinos</x:v>
      </x:c>
      <x:c r="B91" s="276" t="str">
        <x:v>Dayana Anabel Martínez Rosero</x:v>
      </x:c>
      <x:c r="C91" s="277" t="str">
        <x:v>2022</x:v>
      </x:c>
      <x:c r="D91" s="276" t="str">
        <x:v>Ecología de páramo</x:v>
      </x:c>
      <x:c r="E91" s="276" t="str">
        <x:v>Becas</x:v>
      </x:c>
      <x:c r="F91" s="276" t="str">
        <x:v>Finalizado</x:v>
      </x:c>
      <x:c r="G91" s="281" t="n">
        <x:v>-0.399664</x:v>
      </x:c>
      <x:c r="H91" s="281" t="n">
        <x:v>-78.159037</x:v>
      </x:c>
      <x:c r="I91" s="276" t="str">
        <x:v>Analizó la relación entre factores físico-químicos y comunidades de microalgas en lagos del sistema Papallacta–Oyacachi, durante dos campañas entre 2020 y 2021. Recolectó fitoplancton y perifiton, los identificó microscópicamente y aplicó análisis de correspondencia canónica y similitud. Identificó 106 especies; lagos y reservorios tuvieron baja similitud florística, y conductividad y transparencia fueron las variables más influyentes, sin una relación mayor de nutrientes con la presencia de especies.</x:v>
      </x:c>
      <x:c r="J91" s="284"/>
    </x:row>
    <x:row r="92" ht="88" customHeight="1">
      <x:c r="A92" s="276" t="str">
        <x:v>Limnological studies of HighAndean lakes in Ecuador</x:v>
      </x:c>
      <x:c r="B92" s="276" t="str">
        <x:v>Jorge E. Celi; David Guaña; Andrea Llumiquinga; Angeles Ramos; Bryan Rosero; Dayana Martínez</x:v>
      </x:c>
      <x:c r="C92" s="277" t="str">
        <x:v>2022</x:v>
      </x:c>
      <x:c r="D92" s="276" t="str">
        <x:v>Ecología de páramo</x:v>
      </x:c>
      <x:c r="E92" s="276" t="str">
        <x:v>Becas</x:v>
      </x:c>
      <x:c r="F92" s="276" t="str">
        <x:v>Finalizado</x:v>
      </x:c>
      <x:c r="G92" s="281" t="n">
        <x:v>-0.383483</x:v>
      </x:c>
      <x:c r="H92" s="281" t="n">
        <x:v>-78.142415</x:v>
      </x:c>
      <x:c r="I92" s="276" t="str">
        <x:v>El póster sintetiza un programa limnológico del sistema Papallacta–Oyacachi, incluido el humedal Ñucanchi Turubamba. Reúne estudios de dinámica de humedales, morfometría y biogeoquímica de lagos, microplásticos, microalgas y estratificación de Salve Faccha. Reporta, entre otros resultados, frecuencias de inundación de 30,5 % a 88,3 %, 106 especies de microalgas y microplásticos en agua y sedimentos, como resultados agregados de los subestudios.</x:v>
      </x:c>
      <x:c r="J92" s="284"/>
    </x:row>
    <x:row r="93" ht="88" customHeight="1">
      <x:c r="A93" s="276" t="str">
        <x:v>Mapeo dinámico de humedales de páramo (bofedales) utilizando Water Cloud Model (WCM) a través de imágenes radar en banda C y polarizaciones VH, VV del satélite Sentinel-1</x:v>
      </x:c>
      <x:c r="B93" s="276" t="str">
        <x:v>Luis Fabian Huaraca Huaraca</x:v>
      </x:c>
      <x:c r="C93" s="277" t="str">
        <x:v>2025</x:v>
      </x:c>
      <x:c r="D93" s="276" t="str">
        <x:v>Hidrología</x:v>
      </x:c>
      <x:c r="E93" s="276" t="str">
        <x:v>Becas</x:v>
      </x:c>
      <x:c r="F93" s="276" t="str">
        <x:v>Finalizado</x:v>
      </x:c>
      <x:c r="G93" s="281" t="n">
        <x:v>-0.499605</x:v>
      </x:c>
      <x:c r="H93" s="281" t="n">
        <x:v>-78.243118</x:v>
      </x:c>
      <x:c r="I93" s="276" t="str">
        <x:v>Mapeó dinámicamente bofedales en áreas de interés hídrico de Pichincha, Napo y Cotopaxi mediante imágenes Sentinel-1 y Sentinel-2, clasificación supervisada y un Water Cloud Model calibrado con humedad superficial in situ. Comparó cartografía óptica, radar y basada en humedad para examinar variación intra e interanual, con énfasis en Jatunhuaycu. La integración óptica-radar permitió el análisis dinámico; en 2023 se estimaron 28.972 ha de humedales y el modelo calibrado alcanzó R = 0,79, aunque subestimó área frente a la clasificación radar.</x:v>
      </x:c>
      <x:c r="J93" s="284"/>
    </x:row>
    <x:row r="94" ht="88" customHeight="1">
      <x:c r="A94" s="276" t="str">
        <x:v>Modelo multitemporal del cambio de cobertura vegetal y uso de suelo en las cuencas de los ríos Machángara, Monjas y San Pedro en el Distrito Metropolitano de Quito entre 1990 al 2024</x:v>
      </x:c>
      <x:c r="B94" s="276" t="str">
        <x:v>Luis Andrés Constante Veloz; Andy Moisés Osorio Aules</x:v>
      </x:c>
      <x:c r="C94" s="277" t="str">
        <x:v>2025</x:v>
      </x:c>
      <x:c r="D94" s="276" t="str">
        <x:v>Análisis Socioeconómicos y Ambientales</x:v>
      </x:c>
      <x:c r="E94" s="276" t="str">
        <x:v>Becas</x:v>
      </x:c>
      <x:c r="F94" s="276" t="str">
        <x:v>Finalizado</x:v>
      </x:c>
      <x:c r="G94" s="281" t="n">
        <x:v>-0.24762</x:v>
      </x:c>
      <x:c r="H94" s="281" t="n">
        <x:v>-78.511982</x:v>
      </x:c>
      <x:c r="I94" s="276" t="str">
        <x:v>Modeló cambios de cobertura vegetal y uso de suelo en las cuencas Machángara, Monjas y San Pedro hasta 2024, con proyecciones a 2045. Procesó imágenes Landsat en RStudio y SIG, aplicó correcciones, clasificación supervisada Random Forest, cartografía anual, tasas de cambio y matrices de transición bajo Corine Land Cover. La urbanización fue el cambio dominante, particularmente en Machángara y Monjas, y se proyecta su expansión en San Pedro; el estudio recomienda contenerla y proteger páramo, bosques y suelos estratégicos.</x:v>
      </x:c>
      <x:c r="J94" s="284" t="n">
        <x:v>528</x:v>
      </x:c>
    </x:row>
    <x:row r="95" ht="88" customHeight="1">
      <x:c r="A95" s="276" t="str">
        <x:v>Presence of Myxoma Virus and Rabbit Hemorrhagic Disease Virus in Sylvilagus andinus in the Antisana Hydrological Conservation Area</x:v>
      </x:c>
      <x:c r="B95" s="276" t="str">
        <x:v>Cristian Guzmán Arias</x:v>
      </x:c>
      <x:c r="C95" s="277" t="str">
        <x:v>2021</x:v>
      </x:c>
      <x:c r="D95" s="276" t="str">
        <x:v>Ecología de páramo</x:v>
      </x:c>
      <x:c r="E95" s="276" t="str">
        <x:v>Becas</x:v>
      </x:c>
      <x:c r="F95" s="276" t="str">
        <x:v>Finalizado</x:v>
      </x:c>
      <x:c r="G95" s="281" t="n">
        <x:v>-0.484752</x:v>
      </x:c>
      <x:c r="H95" s="281" t="n">
        <x:v>-78.19734</x:v>
      </x:c>
      <x:c r="I95" s="276" t="str">
        <x:v>Examinó la presencia de virus Myxoma y de la enfermedad hemorrágica del conejo en Sylvilagus andinus del Área de Conservación Hídrica Antisana. Aplicó PCR convencional para MYXV, RT-PCR para RHDV y secuenciación de amplicones. Detectó muestras positivas para ambos virus y la interpretación del estudio sugiere circulación de MYXV y RHDV en la población evaluada, por lo que recomienda ampliar el muestreo y evaluar posibles efectos poblacionales.</x:v>
      </x:c>
      <x:c r="J95" s="284" t="n">
        <x:v>2988</x:v>
      </x:c>
    </x:row>
    <x:row r="96" ht="88" customHeight="1">
      <x:c r="A96" s="276" t="str">
        <x:v>Pronóstico de caudales bajos en la cuenca del río Pita mediante inteligencia artificial como soporte para la gestión del abastecimiento de agua potable del Distrito Metropolitano de Quito</x:v>
      </x:c>
      <x:c r="B96" s="276" t="str">
        <x:v>Roger Steven Vega Yautibug</x:v>
      </x:c>
      <x:c r="C96" s="277" t="str">
        <x:v>2026</x:v>
      </x:c>
      <x:c r="D96" s="276" t="str">
        <x:v>Hidrología</x:v>
      </x:c>
      <x:c r="E96" s="276" t="str">
        <x:v>Becas</x:v>
      </x:c>
      <x:c r="F96" s="276" t="str">
        <x:v>Finalizado</x:v>
      </x:c>
      <x:c r="G96" s="281" t="n">
        <x:v>-0.415632</x:v>
      </x:c>
      <x:c r="H96" s="281" t="n">
        <x:v>-78.330418</x:v>
      </x:c>
      <x:c r="I96" s="276" t="str">
        <x:v>Exploró la sensibilidad de redes LSTM para pronosticar caudales bajos del río Pita con horizontes de 1, 7, 15 y 35 días. Construyó modelos con caudal, nivel de agua, humedad relativa, precipitación, radiación solar y temperatura, y los comparó con RMSE, MAE, MAPE y métricas de firma. Las variables hidrométricas fueron determinantes y su combinación con variables meteorológicas y rezagos adecuados mejoró el desempeño, lo que aporta un insumo para anticipar períodos de bajo caudal.</x:v>
      </x:c>
      <x:c r="J96" s="284" t="n">
        <x:v>837.88</x:v>
      </x:c>
    </x:row>
    <x:row r="97" ht="88" customHeight="1">
      <x:c r="A97" s="276" t="str">
        <x:v>Propuesta de mejora para la Gestión del Agua en el Sistema Pita-Puengasí del Distrito Metropolitano de Quito con base en la Huella Hídrica, período 2023-2024</x:v>
      </x:c>
      <x:c r="B97" s="276" t="str">
        <x:v>Ariel Alejandro Palacios Loor; Junior Alexander Zambrano Vera</x:v>
      </x:c>
      <x:c r="C97" s="277" t="str">
        <x:v>2026</x:v>
      </x:c>
      <x:c r="D97" s="276" t="str">
        <x:v>Economía Ecológica y Economía Ambiental</x:v>
      </x:c>
      <x:c r="E97" s="276" t="str">
        <x:v>Becas</x:v>
      </x:c>
      <x:c r="F97" s="276" t="str">
        <x:v>Finalizado</x:v>
      </x:c>
      <x:c r="G97" s="281" t="n">
        <x:v>-0.2366666021</x:v>
      </x:c>
      <x:c r="H97" s="281" t="n">
        <x:v>-78.4930863967</x:v>
      </x:c>
      <x:c r="I97" s="276" t="str">
        <x:v>Evaluó la huella hídrica del sistema Pita–Puengasí, desde captación y conducción hasta tratamiento, con datos de 2023–2024 y lineamientos ISO 14046 y Water Footprint Network. Delimitó procesos, unidades funcionales y tres sectores para cuantificar componentes azul, verde y gris, y evaluó propuestas de mejora por viabilidad técnica y económica. Estimó una huella de 38,20 Mm³, equivalente a 34,20 % del agua producida; 97,9 % fue azul y la conducción concentró 94,27 % del total.</x:v>
      </x:c>
      <x:c r="J97" s="284" t="n">
        <x:v>545</x:v>
      </x:c>
    </x:row>
    <x:row r="98" ht="88" customHeight="1">
      <x:c r="A98" s="276" t="str">
        <x:v>Caracterización hidrogeofísica espaciotemporal del subsuelo somero en la cuenca alta del río Jatunhuaycu mediante Tomografía de Resistividad Eléctrica time-lapse (ERT 4D)</x:v>
      </x:c>
      <x:c r="B98" s="276" t="str">
        <x:v>No identificado (Diana Cuasapaz figura en metadato del archivo)</x:v>
      </x:c>
      <x:c r="C98" s="277" t="str">
        <x:v>2026</x:v>
      </x:c>
      <x:c r="D98" s="276" t="str">
        <x:v>Hidrogeología</x:v>
      </x:c>
      <x:c r="E98" s="276" t="str">
        <x:v>Proyectos de investigación</x:v>
      </x:c>
      <x:c r="F98" s="276" t="str">
        <x:v>En curso</x:v>
      </x:c>
      <x:c r="G98" s="281" t="n">
        <x:v>-0.46537</x:v>
      </x:c>
      <x:c r="H98" s="281" t="n">
        <x:v>-78.20183</x:v>
      </x:c>
      <x:c r="I98" s="276" t="str">
        <x:v>El proyecto busca reducir vacíos sobre almacenamiento, saturación y rutas preferenciales de agua en humedales de la cuenca alta del Jatunhuaycu. Prevé aplicar tomografía de resistividad eléctrica 4D con perfiles repetidos en época seca y lluviosa, integrada con registros hidrometeorológicos, nivel freático y calidad de agua. Se esperan identificar zonas de recarga, conectividad y rehumectación, y producir un atlas multitemporal, guía técnica, informe y artículo para orientar conservación y restauración.</x:v>
      </x:c>
      <x:c r="J98" s="284"/>
    </x:row>
    <x:row r="99" ht="88" customHeight="1">
      <x:c r="A99" s="276" t="str">
        <x:v>Caracterización hidrogeológica de las vertientes occidentales del volcán Antisana como parte de los estudios de los glaciares y páramos frente al cambio climático</x:v>
      </x:c>
      <x:c r="B99" s="276" t="str">
        <x:v>Elizabeth Carolina Alvarado Obando</x:v>
      </x:c>
      <x:c r="C99" s="277" t="str">
        <x:v>2009</x:v>
      </x:c>
      <x:c r="D99" s="276" t="str">
        <x:v>Hidrogeología</x:v>
      </x:c>
      <x:c r="E99" s="276" t="str">
        <x:v>Proyectos de investigación</x:v>
      </x:c>
      <x:c r="F99" s="276" t="str">
        <x:v>En curso</x:v>
      </x:c>
      <x:c r="G99" s="281" t="n">
        <x:v>-0.50683</x:v>
      </x:c>
      <x:c r="H99" s="281" t="n">
        <x:v>-78.21702</x:v>
      </x:c>
      <x:c r="I99" s="276" t="str">
        <x:v>La investigación caracteriza las vertientes occidentales del Antisana para reconocer fuentes de agua y su relación con glaciares, páramos y reservas subterráneas. El documento describe revisión cartográfica y fotogeológica, reconocimiento geológico de campo, inventario de puntos de agua, muestreo de agua y roca, mapas temáticos y estimación de reservas. Reporta el inventario y la caracterización hidrogeológica, y recomienda perforaciones y ensayos de acuíferos para precisar espesores y transmisividad.</x:v>
      </x:c>
      <x:c r="J99" s="284"/>
    </x:row>
    <x:row r="100" ht="88" customHeight="1">
      <x:c r="A100" s="276" t="str">
        <x:v>Censos y jornadas: análisis de población de venados</x:v>
      </x:c>
      <x:c r="B100" s="276" t="str">
        <x:v>Henry Herrera</x:v>
      </x:c>
      <x:c r="C100" s="277" t="str">
        <x:v>2026</x:v>
      </x:c>
      <x:c r="D100" s="276" t="str">
        <x:v>Ecología de páramo</x:v>
      </x:c>
      <x:c r="E100" s="276" t="str">
        <x:v>Proyectos de investigación</x:v>
      </x:c>
      <x:c r="F100" s="276" t="str">
        <x:v>En curso</x:v>
      </x:c>
      <x:c r="G100" s="281" t="n">
        <x:v>-0.515327</x:v>
      </x:c>
      <x:c r="H100" s="281" t="n">
        <x:v>-78.229418</x:v>
      </x:c>
      <x:c r="I100" s="276" t="str">
        <x:v>El informe automatizado sistematiza censos de venados de 2018 a 2025 para describir máximos observados, tasas finitas de crecimiento, hábitat, sexo, edad, comportamiento y puntos de avistamiento. Compara jornadas y calcula tendencias por intervalos de años. Registra un aumento de 17 % entre 2024 y 2025 y una tasa geométrica media cercana a 6 %; el seguimiento se plantea como una serie continua, no como una estimación poblacional definitiva.</x:v>
      </x:c>
      <x:c r="J100" s="284"/>
    </x:row>
    <x:row r="101" ht="88" customHeight="1">
      <x:c r="A101" s="276" t="str">
        <x:v>ChuquirAgua: Ciencia ciudadana que alerta sobre sequías, racionamiento eléctrico, incendios y degradación del agua en comunidades locales</x:v>
      </x:c>
      <x:c r="B101" s="276" t="str">
        <x:v>No identificado (documento firmado por Carlos Javier Torres Miño)</x:v>
      </x:c>
      <x:c r="C101" s="277" t="str">
        <x:v>2025</x:v>
      </x:c>
      <x:c r="D101" s="276" t="str">
        <x:v>Análisis Socioeconómicos y Ambientales</x:v>
      </x:c>
      <x:c r="E101" s="276" t="str">
        <x:v>Proyectos de investigación</x:v>
      </x:c>
      <x:c r="F101" s="276" t="str">
        <x:v>En curso</x:v>
      </x:c>
      <x:c r="G101" s="281" t="n">
        <x:v>-0.93215</x:v>
      </x:c>
      <x:c r="H101" s="281" t="n">
        <x:v>-78.61555</x:v>
      </x:c>
      <x:c r="I101" s="276" t="str">
        <x:v>ChuquirAgua busca codiseñar con habitantes una aplicación de alertas frente a sequías, racionamiento eléctrico, incendios y degradación del agua. Durante 18 meses prevé implementar laboratorios ciudadanos en Pichincha y Cotopaxi para medir caudal y calidad de agua con equipos de bajo costo y kits de análisis, enviando datos a un servidor, una aplicación y una web. Se esperan evidencia para mitigación y un sistema ciudadano escalable; la fuente no reporta resultados ejecutados.</x:v>
      </x:c>
      <x:c r="J101" s="284"/>
    </x:row>
    <x:row r="102" ht="88" customHeight="1">
      <x:c r="A102" s="276" t="str">
        <x:v>Consultoría para levantar una línea base de la unidad hidrográfica del río El Cinto, occidente del DMQ y proponer un plan de acción</x:v>
      </x:c>
      <x:c r="B102" s="276" t="str">
        <x:v>Susana Escandón; Melania Intriago; Sergio Torres; Daniela Cadena; Juan Javier Aguirre; Carla Pérez</x:v>
      </x:c>
      <x:c r="C102" s="277" t="str">
        <x:v>2016</x:v>
      </x:c>
      <x:c r="D102" s="276" t="str">
        <x:v>Análisis Socioeconómicos y Ambientales</x:v>
      </x:c>
      <x:c r="E102" s="276" t="str">
        <x:v>Proyectos de investigación</x:v>
      </x:c>
      <x:c r="F102" s="276" t="str">
        <x:v>En curso</x:v>
      </x:c>
      <x:c r="G102" s="281" t="n">
        <x:v>-0.217505985</x:v>
      </x:c>
      <x:c r="H102" s="281" t="n">
        <x:v>-78.5550763356</x:v>
      </x:c>
      <x:c r="I102" s="276" t="str">
        <x:v>La consultoría levantó una línea base socioambiental de la unidad hidrográfica del río El Cinto para orientar acciones de conservación y mejora de condiciones de vida. Combinó revisión de información secundaria, cartografía, recorridos y parcelas de campo, encuestas, talleres y análisis de gobernanza, agua, cobertura y actividades productivas. El diagnóstico registró presión por incendios y erosión, sin cambios relevantes de páramo entre 2001 y 2014, y propuso monitoreo, restauración, educación, fortalecimiento organizativo y producción sostenible.</x:v>
      </x:c>
      <x:c r="J102" s="284"/>
    </x:row>
    <x:row r="103" ht="88" customHeight="1">
      <x:c r="A103" s="276" t="str">
        <x:v>Determinación de actinomicetos en los sedimentos del embalse Salve Faccha</x:v>
      </x:c>
      <x:c r="B103" s="276" t="str">
        <x:v>No identificado</x:v>
      </x:c>
      <x:c r="C103" s="277" t="str">
        <x:v>s. f.</x:v>
      </x:c>
      <x:c r="D103" s="276" t="str">
        <x:v>Manejo de embalses</x:v>
      </x:c>
      <x:c r="E103" s="276" t="str">
        <x:v>Proyectos de investigación</x:v>
      </x:c>
      <x:c r="F103" s="276" t="str">
        <x:v>En curso</x:v>
      </x:c>
      <x:c r="G103" s="281" t="n">
        <x:v>-0.4486</x:v>
      </x:c>
      <x:c r="H103" s="281" t="n">
        <x:v>-78.18266</x:v>
      </x:c>
      <x:c r="I103" s="276" t="str">
        <x:v>La propuesta busca evaluar presencia, diversidad y concentración de actinomicetos en sedimentos del embalse Salve Faccha y explorar su posible relación con metabolitos como geosmina y con la calidad del agua. Plantea recolectar 15 muestras en distintos puntos y profundidades, aislar y caracterizar microorganismos en laboratorio y medir condiciones físico-químicas del sedimento. Se esperan identificar especies, patrones de distribución y factores asociados para formular recomendaciones de seguimiento y manejo.</x:v>
      </x:c>
      <x:c r="J103" s="284"/>
    </x:row>
    <x:row r="104" ht="88" customHeight="1">
      <x:c r="A104" s="276" t="str">
        <x:v>Fortalecimiento de capacidades para el establecimiento de medidas de restauración de ecosistemas de montaña y la generación de evidencia científica sobre sus impactos en la provisión de servicios ecosistémicos hídricos (Fase II)</x:v>
      </x:c>
      <x:c r="B104" s="276" t="str">
        <x:v>Bert De Bièvre; Helder Mallqui Meza</x:v>
      </x:c>
      <x:c r="C104" s="277" t="str">
        <x:v>2023</x:v>
      </x:c>
      <x:c r="D104" s="276" t="str">
        <x:v>Restauración de la cobertura vegetal</x:v>
      </x:c>
      <x:c r="E104" s="276" t="str">
        <x:v>Proyectos de investigación</x:v>
      </x:c>
      <x:c r="F104" s="276" t="str">
        <x:v>En curso</x:v>
      </x:c>
      <x:c r="G104" s="281" t="n">
        <x:v>-0.49369</x:v>
      </x:c>
      <x:c r="H104" s="281" t="n">
        <x:v>-78.18814</x:v>
      </x:c>
      <x:c r="I104" s="276" t="str">
        <x:v>La Fase II busca fortalecer la cooperación entre FONAG e INAIGEM para restauración de ecosistemas de montaña y evaluación de sus efectos sobre servicios hídricos. Retoma intercambios y una visita documentados para la Fase I, y prevé reuniones técnicas, intercambios de campo, definición conjunta de indicadores y monitoreo en Antisana, Alto Pita y Áncash. Se esperan informes de diseño y análisis preliminar, visitas técnicas y un documento conjunto de avances, lecciones y lineamientos de monitoreo.</x:v>
      </x:c>
      <x:c r="J104" s="284"/>
    </x:row>
    <x:row r="105" ht="88" customHeight="1">
      <x:c r="A105" s="276" t="str">
        <x:v>Implementación de estrategias de protección de la cuenca hidrográfica de la quebrada Rumipamba, en el noroccidente de Quito, a través de la educación ambiental, el monitoreo hidrometeorológico e infraestructura para manejo del lugar</x:v>
      </x:c>
      <x:c r="B105" s="276" t="str">
        <x:v>No identificado</x:v>
      </x:c>
      <x:c r="C105" s="277" t="str">
        <x:v>2024</x:v>
      </x:c>
      <x:c r="D105" s="276" t="str">
        <x:v>Análisis Socioeconómicos y Ambientales</x:v>
      </x:c>
      <x:c r="E105" s="276" t="str">
        <x:v>Proyectos de investigación</x:v>
      </x:c>
      <x:c r="F105" s="276" t="str">
        <x:v>En curso</x:v>
      </x:c>
      <x:c r="G105" s="281" t="n">
        <x:v>-0.18304</x:v>
      </x:c>
      <x:c r="H105" s="281" t="n">
        <x:v>-78.51839</x:v>
      </x:c>
      <x:c r="I105" s="276" t="str">
        <x:v>El proyecto de vinculación busca proteger la cuenca de la quebrada Rumipamba mediante educación ambiental, monitoreo hidrometeorológico e infraestructura de manejo. Para 2024–2026 prevé estrategias educativas e infraestructura demostrativa, instalación y validación de datos hidrometeorológicos, y un estudio hidrológico-hidráulico de amenazas asociadas a la presa de Rumiloma. Sus productos previstos incluyen capacitación comunitaria, materiales de divulgación y un mapa de amenazas para apoyar conservación y seguridad local.</x:v>
      </x:c>
      <x:c r="J105" s="284"/>
    </x:row>
    <x:row r="106" ht="88" customHeight="1">
      <x:c r="A106" s="276" t="str">
        <x:v>INABIOsoil: Innovación en la evaluación del manejo en suelos de páramo</x:v>
      </x:c>
      <x:c r="B106" s="276" t="str">
        <x:v>Instituto Nacional de Biodiversidad (INABIO)</x:v>
      </x:c>
      <x:c r="C106" s="277" t="str">
        <x:v>s. f.</x:v>
      </x:c>
      <x:c r="D106" s="276" t="str">
        <x:v>Ecología de páramo</x:v>
      </x:c>
      <x:c r="E106" s="276" t="str">
        <x:v>Proyectos de investigación</x:v>
      </x:c>
      <x:c r="F106" s="276" t="str">
        <x:v>En curso</x:v>
      </x:c>
      <x:c r="G106" s="281" t="n">
        <x:v>-0.475484195</x:v>
      </x:c>
      <x:c r="H106" s="281" t="n">
        <x:v>-78.2348678</x:v>
      </x:c>
      <x:c r="I106" s="276" t="str">
        <x:v>INABIOsoil busca evaluar cómo el manejo modifica la biodiversidad y el funcionamiento de suelos de páramo intervenidos por FONAG. Propone comparar sitios con y sin pastoreo, áreas erosionadas y pajonal mediante análisis físico-químicos, extracción de ADN, metabarcoding 16S, bioinformática y pruebas metabólicas de carbono. Se espera establecer una línea base de riqueza, composición y funciones microbianas y generar indicadores para valorar restauración y orientar el manejo de los suelos.</x:v>
      </x:c>
      <x:c r="J106" s="284"/>
    </x:row>
    <x:row r="107" ht="88" customHeight="1">
      <x:c r="A107" s="276" t="str">
        <x:v>Informe de monitoreo de gases de efecto invernadero en Jatunhuayco y Pullurima</x:v>
      </x:c>
      <x:c r="B107" s="276" t="str">
        <x:v>No identificado</x:v>
      </x:c>
      <x:c r="C107" s="277" t="str">
        <x:v>2024</x:v>
      </x:c>
      <x:c r="D107" s="276" t="str">
        <x:v>Cambio climático y global</x:v>
      </x:c>
      <x:c r="E107" s="276" t="str">
        <x:v>Proyectos de investigación</x:v>
      </x:c>
      <x:c r="F107" s="276" t="str">
        <x:v>En curso</x:v>
      </x:c>
      <x:c r="G107" s="281" t="n">
        <x:v>-0.47916</x:v>
      </x:c>
      <x:c r="H107" s="281" t="n">
        <x:v>-78.21487</x:v>
      </x:c>
      <x:c r="I107" s="276" t="str">
        <x:v>El informe compara el intercambio de CO₂ y CH₄ en el humedal Jatunhuayco, en recuperación, y Pullurima, intervenido por pastoreo. Entre agosto y diciembre de 2023 instaló transectos y pozos, y realizó mediciones mensuales con cámara Picarro junto con nivel freático y variables ambientales. Los resultados preliminares indican mayor asimilación de CO₂ y menores flujos de CH₄ en Jatunhuayco; el propio informe solicita ampliar la ventana de observación para confirmar esas tendencias.</x:v>
      </x:c>
      <x:c r="J107" s="284"/>
    </x:row>
    <x:row r="108" ht="88" customHeight="1">
      <x:c r="A108" s="276" t="str">
        <x:v>Monitoreos ACHA Atacazo y ACH Pita: primera etapa de monitoreo y aforos</x:v>
      </x:c>
      <x:c r="B108" s="276" t="str">
        <x:v>Miguel Ángel Rosero Clavijo</x:v>
      </x:c>
      <x:c r="C108" s="277" t="str">
        <x:v>2025</x:v>
      </x:c>
      <x:c r="D108" s="276" t="str">
        <x:v>Hidrología</x:v>
      </x:c>
      <x:c r="E108" s="276" t="str">
        <x:v>Proyectos de investigación</x:v>
      </x:c>
      <x:c r="F108" s="276" t="str">
        <x:v>En curso</x:v>
      </x:c>
      <x:c r="G108" s="281" t="n">
        <x:v>-0.318338263</x:v>
      </x:c>
      <x:c r="H108" s="281" t="n">
        <x:v>-78.6017551075</x:v>
      </x:c>
      <x:c r="I108" s="276" t="str">
        <x:v>La primera etapa caracterizó condiciones físico-químicas del agua y caudales en ACHA Atacazo y la microcuenca del río Pita. Ejecutó tres campañas entre septiembre y octubre de 2025 en 23 puntos, con mediciones in situ de pH, conductividad, turbidez, oxígeno disuelto y temperatura, muestras químicas e isotópicas y aforos por dilución salina. La etapa produjo una línea base inicial de aguas de alta montaña generalmente poco mineralizadas y de buena calidad, con variaciones locales; el informe recomienda continuar las campañas para evaluar estacionalidad y caudales.</x:v>
      </x:c>
      <x:c r="J108" s="284"/>
    </x:row>
    <x:row r="109" ht="88" customHeight="1">
      <x:c r="A109" s="276" t="str">
        <x:v>Preserving the natural carbon storage capacity of páramo wetlands and volcano glaciers through autonomous aerial monitoring and computer vision: Pilot program at the Antisana natural reserve in Ecuador</x:v>
      </x:c>
      <x:c r="B109" s="276" t="str">
        <x:v>No identificado</x:v>
      </x:c>
      <x:c r="C109" s="277" t="str">
        <x:v>2023</x:v>
      </x:c>
      <x:c r="D109" s="276" t="str">
        <x:v>Cambio climático y global</x:v>
      </x:c>
      <x:c r="E109" s="276" t="str">
        <x:v>Proyectos de investigación</x:v>
      </x:c>
      <x:c r="F109" s="276" t="str">
        <x:v>En curso</x:v>
      </x:c>
      <x:c r="G109" s="281" t="n">
        <x:v>-0.48779</x:v>
      </x:c>
      <x:c r="H109" s="281" t="n">
        <x:v>-78.17423</x:v>
      </x:c>
      <x:c r="I109" s="276" t="str">
        <x:v>El programa piloto busca conservar la capacidad de almacenamiento de carbono de humedales de páramo y glaciares en la Reserva Natural Antisana. Propone integrar imágenes aéreas y satelitales, visión computacional y trabajo con actores locales para monitorear salud de vegetación, disponibilidad de agua y dinámica glaciar. Se esperan modelos de escenarios para identificar amenazas y priorizar acciones, además de información operativa, capacitación y métodos transferibles a otros paisajes de montaña.</x:v>
      </x:c>
      <x:c r="J109" s="284"/>
    </x:row>
    <x:row r="110" ht="88" customHeight="1">
      <x:c r="A110" s="276" t="str">
        <x:v>Procesos ecológicos de 4 embalses que abastecen de agua potable al DMQ, ubicados en los páramos andinos</x:v>
      </x:c>
      <x:c r="B110" s="276" t="str">
        <x:v>Mario Guallpa (metadato del documento)</x:v>
      </x:c>
      <x:c r="C110" s="277" t="str">
        <x:v>2025</x:v>
      </x:c>
      <x:c r="D110" s="276" t="str">
        <x:v>Manejo de embalses</x:v>
      </x:c>
      <x:c r="E110" s="276" t="str">
        <x:v>Proyectos de investigación</x:v>
      </x:c>
      <x:c r="F110" s="276" t="str">
        <x:v>En curso</x:v>
      </x:c>
      <x:c r="G110" s="281" t="n">
        <x:v>-0.51342</x:v>
      </x:c>
      <x:c r="H110" s="281" t="n">
        <x:v>-78.17468</x:v>
      </x:c>
      <x:c r="I110" s="276" t="str">
        <x:v>La investigación busca estudiar los procesos ecológicos que determinan el estado trófico de los embalses Salve Faccha, Mogotes, Sucus y La Mica, fuentes de agua para el DMQ. Prevé muestreos trimestrales de agua, sedimentos, afluentes y biota, medición de variables físico-químicas, nutrientes, carbono, gases y comunidades planctónicas, bentónicas y de peces. Los productos previstos son una base de datos hidroecológica e indicadores o criterios de manejo para los cuatro embalses.</x:v>
      </x:c>
      <x:c r="J110" s="284"/>
    </x:row>
    <x:row r="111" ht="88" customHeight="1">
      <x:c r="A111" s="276" t="str">
        <x:v>Propuesta metodológica para el monitoreo del impacto de las acciones que implementa el FONAG en el acceso a agua segura en áreas rurales del Distrito Metropolitano de Quito</x:v>
      </x:c>
      <x:c r="B111" s="276" t="str">
        <x:v>Paola Fuentes Salcedo; Lorena Coronel Tapia (directora)</x:v>
      </x:c>
      <x:c r="C111" s="277" t="str">
        <x:v>2024</x:v>
      </x:c>
      <x:c r="D111" s="276" t="str">
        <x:v>Análisis Socioeconómicos y Ambientales</x:v>
      </x:c>
      <x:c r="E111" s="276" t="str">
        <x:v>Proyectos de investigación</x:v>
      </x:c>
      <x:c r="F111" s="276" t="str">
        <x:v>En curso</x:v>
      </x:c>
      <x:c r="G111" s="281" t="n">
        <x:v>-0.23151</x:v>
      </x:c>
      <x:c r="H111" s="281" t="n">
        <x:v>-78.49562</x:v>
      </x:c>
      <x:c r="I111" s="276" t="str">
        <x:v>La propuesta de titulación busca diseñar una metodología para medir el impacto de las acciones de FONAG sobre el acceso a agua segura en comunidades rurales del DMQ. Articula dimensiones ecológicas, técnicas y sociales y plantea indicadores, instrumentos de evaluación y participación de FONAG y usuarios. El producto previsto es una metodología aplicable con indicadores y recomendaciones para priorizar intervenciones y evidenciar cambios; la fuente no reporta resultados de aplicación.</x:v>
      </x:c>
      <x:c r="J111" s="284"/>
    </x:row>
    <x:row r="112" ht="88" customHeight="1">
      <x:c r="A112" s="276" t="str">
        <x:v>Respuestas glacio-eco-hidro-biogeoquímicas al cambio climático en volcanes andinos tropicales</x:v>
      </x:c>
      <x:c r="B112" s="276" t="str">
        <x:v>G. H. C. Ng (PI citado); equipo interdisciplinario</x:v>
      </x:c>
      <x:c r="C112" s="277" t="str">
        <x:v>2023</x:v>
      </x:c>
      <x:c r="D112" s="276" t="str">
        <x:v>Cambio climático y global</x:v>
      </x:c>
      <x:c r="E112" s="276" t="str">
        <x:v>Proyectos de investigación</x:v>
      </x:c>
      <x:c r="F112" s="276" t="str">
        <x:v>En curso</x:v>
      </x:c>
      <x:c r="G112" s="281" t="n">
        <x:v>-0.02996</x:v>
      </x:c>
      <x:c r="H112" s="281" t="n">
        <x:v>-77.98664</x:v>
      </x:c>
      <x:c r="I112" s="276" t="str">
        <x:v>El proyecto interdisciplinario busca examinar cómo el cambio climático y el retroceso glaciar afectan cantidad y calidad de agua, vegetación y ciclos biogeoquímicos en Cayambe, Antisana, Chimborazo y Cotopaxi. Plantea integrar observaciones glaciológicas, hidrológicas, ecológicas y químicas con colaboración de comunidades indígenas y modelos predictivos desde las lenguas glaciares hasta usuarios aguas abajo. Se esperan escenarios de vulnerabilidad, protocolos de monitoreo y recomendaciones de adaptación y conservación.</x:v>
      </x:c>
      <x:c r="J112" s="284"/>
    </x:row>
    <x:row r="113" ht="88" customHeight="1">
      <x:c r="A113" s="276" t="str">
        <x:v>Tracing Water Origins and Quality in the Páramo and Glacial Ecosystems of the Ecuadorian Andes</x:v>
      </x:c>
      <x:c r="B113" s="276" t="str">
        <x:v>Brigham Young University y Universidad San Francisco de Quito (equipo no individualizado en extracto)</x:v>
      </x:c>
      <x:c r="C113" s="277" t="str">
        <x:v>s. f.</x:v>
      </x:c>
      <x:c r="D113" s="276" t="str">
        <x:v>Hidrología</x:v>
      </x:c>
      <x:c r="E113" s="276" t="str">
        <x:v>Proyectos de investigación</x:v>
      </x:c>
      <x:c r="F113" s="276" t="str">
        <x:v>En curso</x:v>
      </x:c>
      <x:c r="G113" s="281" t="n">
        <x:v>-0.55067</x:v>
      </x:c>
      <x:c r="H113" s="281" t="n">
        <x:v>-78.17356</x:v>
      </x:c>
      <x:c r="I113" s="276" t="str">
        <x:v>La iniciativa busca estudiar el origen y la calidad del agua en ecosistemas de páramo y glaciares de Antisana, Cayambe, Cotopaxi y Chimborazo. Prevé medir contribuciones de precipitación, deshielo y agua subterránea, junto con variables físico-químicas, metales traza, ADN ambiental y macroinvertebrados, integrados mediante análisis geoespacial y modelos ecológicos. Se esperan bases de datos abiertas, artículos, reportes comunitarios y capacitación para mejorar la gestión de fuentes altoandinas.</x:v>
      </x:c>
      <x:c r="J113" s="284"/>
    </x:row>
    <x:row r="114" ht="88" customHeight="1">
      <x:c r="A114" s="276" t="str">
        <x:v>Atlas de microalgas y cianobacterias del fitoplancton y perifiton: Embalse La Mica</x:v>
      </x:c>
      <x:c r="B114" s="276" t="str">
        <x:v>Katherin Clavijo Páez; Karen Rodríguez Sabando; Diana Ontaneda Andrade; Andrés Arévalo; Diana Astorga García</x:v>
      </x:c>
      <x:c r="C114" s="277" t="str">
        <x:v>2020</x:v>
      </x:c>
      <x:c r="D114" s="276" t="str">
        <x:v>Manejo de embalses</x:v>
      </x:c>
      <x:c r="E114" s="276" t="str">
        <x:v>Proyectos de investigación</x:v>
      </x:c>
      <x:c r="F114" s="276" t="str">
        <x:v>Finalizado</x:v>
      </x:c>
      <x:c r="G114" s="281" t="n">
        <x:v>-0.49992</x:v>
      </x:c>
      <x:c r="H114" s="281" t="n">
        <x:v>-78.16541</x:v>
      </x:c>
      <x:c r="I114" s="276" t="str">
        <x:v>El atlas caracterizó microalgas y cianobacterias de fitoplancton y perifiton del embalse La Mica y sus afluentes. Entre mayo y octubre de 2019 realizó muestreos a diferentes profundidades con botellas y red, colectas de perifiton en ríos, dique, rocas y muelle, e identificación por microscopía y cultivo. Registró ocho divisiones, con predominio de clorofitas y ocrófitas, y recomienda seguimiento sistemático de géneros potencialmente nocivos.</x:v>
      </x:c>
      <x:c r="J114" s="284"/>
    </x:row>
    <x:row r="115" ht="88" customHeight="1">
      <x:c r="A115" s="276" t="str">
        <x:v>Caracterización de macrofósiles a lo largo de perfiles de turba en dos humedales altoandinos dentro del Área de Conservación Hídrica Antisana</x:v>
      </x:c>
      <x:c r="B115" s="276" t="str">
        <x:v>Dominique Vargas</x:v>
      </x:c>
      <x:c r="C115" s="277" t="str">
        <x:v>2022</x:v>
      </x:c>
      <x:c r="D115" s="276" t="str">
        <x:v>Ecología de páramo</x:v>
      </x:c>
      <x:c r="E115" s="276" t="str">
        <x:v>Proyectos de investigación</x:v>
      </x:c>
      <x:c r="F115" s="276" t="str">
        <x:v>Finalizado</x:v>
      </x:c>
      <x:c r="G115" s="281" t="n">
        <x:v>-0.47953</x:v>
      </x:c>
      <x:c r="H115" s="281" t="n">
        <x:v>-78.20763</x:v>
      </x:c>
      <x:c r="I115" s="276" t="str">
        <x:v>La consultoría caracterizó macrofósiles vegetales en perfiles de turba de Pugllohuma y Jatunhuaycu para construir una línea base paleoambiental útil para restauración. El Producto 1 definió el muestreo de núcleos y análisis microscópico, y el Producto 2 examinó perfiles de 150 y 185 cm. Identificó cinco taxones, depósitos de ceniza y cambios de vegetación, con señales de disturbio ganadero y recuperación reciente, y propuso especies y análisis complementarios para restauración.</x:v>
      </x:c>
      <x:c r="J115" s="284" t="n">
        <x:v>3410.19</x:v>
      </x:c>
    </x:row>
    <x:row r="116" ht="88" customHeight="1">
      <x:c r="A116" s="276" t="str">
        <x:v>Delineation of water flow paths in a tropical Andean headwater catchment with deep soils and permeable bedrock</x:v>
      </x:c>
      <x:c r="B116" s="276" t="str">
        <x:v>Braulio Lahuatte; Giovanny M. Mosquera; Sebastián Páez-Bimos; Marlon Calispa; Veerle Vanacker; Xavier Zapata-Ríos; Teresa Muñoz; Patricio Crespo</x:v>
      </x:c>
      <x:c r="C116" s="277" t="str">
        <x:v>2022</x:v>
      </x:c>
      <x:c r="D116" s="276" t="str">
        <x:v>Hidrogeología</x:v>
      </x:c>
      <x:c r="E116" s="276" t="str">
        <x:v>Proyectos de investigación</x:v>
      </x:c>
      <x:c r="F116" s="276" t="str">
        <x:v>Finalizado</x:v>
      </x:c>
      <x:c r="G116" s="281" t="n">
        <x:v>-0.5052777778</x:v>
      </x:c>
      <x:c r="H116" s="281" t="n">
        <x:v>-78.2413888889</x:v>
      </x:c>
      <x:c r="I116" s="276" t="str">
        <x:v>El artículo delimitó rutas de flujo de agua en la subcuenca JTU_01 del Observatorio Experimental Jatunhuaycu. Entre marzo de 2019 y febrero de 2020 combinó hidrometría con isótopos estables en precipitación, agua de suelo, humedales y caudal, y analizó indicadores de tiempo de tránsito. Encontró predominio de flujos verticales y subsuperficiales a través de cenizas volcánicas, suelos profundos y fracturas, con alto almacenamiento y escaso escurrimiento superficial.</x:v>
      </x:c>
      <x:c r="J116" s="284"/>
    </x:row>
    <x:row r="117" ht="88" customHeight="1">
      <x:c r="A117" s="276" t="str">
        <x:v>Dye tracer study in the Jatunhuaycu watershed, Napo, Ecuador</x:v>
      </x:c>
      <x:c r="B117" s="276" t="str">
        <x:v>FONAG</x:v>
      </x:c>
      <x:c r="C117" s="277" t="str">
        <x:v>2018</x:v>
      </x:c>
      <x:c r="D117" s="276" t="str">
        <x:v>Hidrología</x:v>
      </x:c>
      <x:c r="E117" s="276" t="str">
        <x:v>Proyectos de investigación</x:v>
      </x:c>
      <x:c r="F117" s="276" t="str">
        <x:v>Finalizado</x:v>
      </x:c>
      <x:c r="G117" s="281" t="n">
        <x:v>-0.45396</x:v>
      </x:c>
      <x:c r="H117" s="281" t="n">
        <x:v>-78.2027</x:v>
      </x:c>
      <x:c r="I117" s="276" t="str">
        <x:v>La propuesta de trazadores buscó aclarar conexiones subterráneas en la cuenca Jatunhuaycu, especialmente en la microcuenca 2, donde el monitoreo previo sugirió infiltración y menor regulación. Planteó combinar datos de lluvia y caudal con inyecciones de fluoresceína y eosina, muestreadores de carbón activado en manantiales y río, y seguimiento por hasta seis meses. Se esperaba estimar rutas y tiempos de residencia, localizar zonas de recarga y ajustar acciones de restauración y manejo integrado.</x:v>
      </x:c>
      <x:c r="J117" s="284"/>
    </x:row>
    <x:row r="118" ht="88" customHeight="1">
      <x:c r="A118" s="276" t="str">
        <x:v>Emergencia de plántulas nativas mediante la técnica de siembra directa y crecimiento y supervivencia de siembra de plántulas de Chuquiraga jussieui en el Páramo del Antisana</x:v>
      </x:c>
      <x:c r="B118" s="276" t="str">
        <x:v>No identificado (archivo asociado a Byron Medina)</x:v>
      </x:c>
      <x:c r="C118" s="277" t="str">
        <x:v>s. f.</x:v>
      </x:c>
      <x:c r="D118" s="276" t="str">
        <x:v>Restauración de la cobertura vegetal</x:v>
      </x:c>
      <x:c r="E118" s="276" t="str">
        <x:v>Proyectos de investigación</x:v>
      </x:c>
      <x:c r="F118" s="276" t="str">
        <x:v>Finalizado</x:v>
      </x:c>
      <x:c r="G118" s="281" t="n">
        <x:v>-0.49313</x:v>
      </x:c>
      <x:c r="H118" s="281" t="n">
        <x:v>-78.21556</x:v>
      </x:c>
      <x:c r="I118" s="276" t="str">
        <x:v>El informe evaluó emergencia por siembra directa de cuatro especies nativas y crecimiento y supervivencia de Chuquiraga jussieui en páramo del Antisana. Instaló parcelas en pajonal, arbustal-pajonal, arenal y páramo conservado, con tratamientos de sombra y exclusión de herbívoros. Chuquiraga fue la única especie que emergió en todas las coberturas y en arenal; las diferencias entre coberturas no fueron significativas, mientras protección y sombra favorecieron la supervivencia.</x:v>
      </x:c>
      <x:c r="J118" s="284"/>
    </x:row>
    <x:row r="119" ht="88" customHeight="1">
      <x:c r="A119" s="276" t="str">
        <x:v>Estudio geológico y geofísico de la cuenca del río Jatunhuaycu, escala 1:10 000</x:v>
      </x:c>
      <x:c r="B119" s="276" t="str">
        <x:v>Fausto Carranco; Wladimir Romero; Luis Jaramillo; Jonathan Suárez; Carlos Abril y equipo IIGE</x:v>
      </x:c>
      <x:c r="C119" s="277" t="str">
        <x:v>2018</x:v>
      </x:c>
      <x:c r="D119" s="276" t="str">
        <x:v>Geología, Sismología y Vulcanología</x:v>
      </x:c>
      <x:c r="E119" s="276" t="str">
        <x:v>Proyectos de investigación</x:v>
      </x:c>
      <x:c r="F119" s="276" t="str">
        <x:v>Finalizado</x:v>
      </x:c>
      <x:c r="G119" s="281" t="n">
        <x:v>-0.4615042015</x:v>
      </x:c>
      <x:c r="H119" s="281" t="n">
        <x:v>-78.2337579883</x:v>
      </x:c>
      <x:c r="I119" s="276" t="str">
        <x:v>El estudio geológico-geofísico de Jatunhuaycu, a escala 1:10.000, buscó reconocer estructuras y zonas de almacenamiento subterráneo de agua para orientar la gestión de cuenca. Combinó cartografía geológica, reconocimiento de campo, análisis de rocas y diez líneas de tomografía eléctrica. Identificó una zona superficial saturada y otra de saturación media en profundidad, además del control de fallas sobre la hidrología; recomienda perforaciones y piezómetros para verificar e integrar la información al monitoreo.</x:v>
      </x:c>
      <x:c r="J119" s="284" t="n">
        <x:v>3100</x:v>
      </x:c>
    </x:row>
    <x:row r="120" ht="88" customHeight="1">
      <x:c r="A120" s="276" t="str">
        <x:v>Hand searching versus pitfall trapping: how to assess biodiversity of ground beetles (Coleoptera: Carabidae) in high altitude equatorial Andes?</x:v>
      </x:c>
      <x:c r="B120" s="276" t="str">
        <x:v>Mauro Gobbi; Álvaro Barragán; Mattia Brambilla; Emilia Moreno; Washington Pruna; Pierre Moret</x:v>
      </x:c>
      <x:c r="C120" s="277" t="str">
        <x:v>2018</x:v>
      </x:c>
      <x:c r="D120" s="276" t="str">
        <x:v>Ecología de páramo</x:v>
      </x:c>
      <x:c r="E120" s="276" t="str">
        <x:v>Proyectos de investigación</x:v>
      </x:c>
      <x:c r="F120" s="276" t="str">
        <x:v>Finalizado</x:v>
      </x:c>
      <x:c r="G120" s="281" t="n">
        <x:v>-0.029629</x:v>
      </x:c>
      <x:c r="H120" s="281" t="n">
        <x:v>-77.984247</x:v>
      </x:c>
      <x:c r="I120" s="276" t="str">
        <x:v>El estudio comparó búsqueda manual y trampas de caída para inventariar carábidos en páramos ecuatoriales de alta altitud, en seis volcanes y franjas de páramo alto y superpáramo. En 28 sesiones de muestreo registró riqueza, abundancia y esfuerzo de cada técnica. La búsqueda manual detectó ligeramente más especies y fue más eficiente en tiempo; los autores recomiendan combinar ambos métodos para inventarios exhaustivos en páramo alto, mientras en superpáramo mostraron resultados comparables.</x:v>
      </x:c>
      <x:c r="J120" s="284"/>
    </x:row>
    <x:row r="121" ht="88" customHeight="1">
      <x:c r="A121" s="276" t="str">
        <x:v>Humboldt’s Tableau Physique revisited</x:v>
      </x:c>
      <x:c r="B121" s="276" t="str">
        <x:v>Pierre Moret; Priscilla Muriel; Ricardo Jaramillo; Olivier Dangles</x:v>
      </x:c>
      <x:c r="C121" s="277" t="str">
        <x:v>2019</x:v>
      </x:c>
      <x:c r="D121" s="276" t="str">
        <x:v>Ecología de páramo</x:v>
      </x:c>
      <x:c r="E121" s="276" t="str">
        <x:v>Proyectos de investigación</x:v>
      </x:c>
      <x:c r="F121" s="276" t="str">
        <x:v>Finalizado</x:v>
      </x:c>
      <x:c r="G121" s="281" t="n">
        <x:v>-1.46931</x:v>
      </x:c>
      <x:c r="H121" s="281" t="n">
        <x:v>-78.81657</x:v>
      </x:c>
      <x:c r="I121" s="276" t="str">
        <x:v>El artículo revisó críticamente los datos botánicos del Tableau Physique de Humboldt con documentos históricos, herbarios y muestreos florísticos repetidos en localidades atribuidas a Chimborazo y Antisana. Encontró que una parte importante de las observaciones de gran altitud no podía verificarse o estaba mal localizada, especialmente en Antisana. La comparación temporal estimó expansiones altitudinales de la flora de aproximadamente 215 a 266 m en 215 años, compatibles con una respuesta al calentamiento.</x:v>
      </x:c>
      <x:c r="J121" s="284"/>
    </x:row>
    <x:row r="122" ht="88" customHeight="1">
      <x:c r="A122" s="276" t="str">
        <x:v>Interacciones ecológicas y ensamblaje de comunidades en ecosistemas vulnerables al cambio climático</x:v>
      </x:c>
      <x:c r="B122" s="276" t="str">
        <x:v>Sofía Carvajal Endara</x:v>
      </x:c>
      <x:c r="C122" s="277" t="str">
        <x:v>2022</x:v>
      </x:c>
      <x:c r="D122" s="276" t="str">
        <x:v>Cambio climático y global</x:v>
      </x:c>
      <x:c r="E122" s="276" t="str">
        <x:v>Proyectos de investigación</x:v>
      </x:c>
      <x:c r="F122" s="276" t="str">
        <x:v>Finalizado</x:v>
      </x:c>
      <x:c r="G122" s="281" t="n">
        <x:v>-0.080713</x:v>
      </x:c>
      <x:c r="H122" s="281" t="n">
        <x:v>-77.989204</x:v>
      </x:c>
      <x:c r="I122" s="276" t="str">
        <x:v>El proyecto propone estudiar cómo las interacciones ecológicas y el ensamblaje de comunidades responden al cambio climático en trópicos altoandinos e islas oceánicas tropicales. Plantea revisión sistemática, muestreos de diversidad, experimentos en comunidades y modelos de redes e idoneidad para relaciones planta-animal en páramo, parásitos de anuros y depredación de semillas por pinzones. Sus productos previstos son prioridades de investigación, redes de interacción y predicciones aplicables a conservación.</x:v>
      </x:c>
      <x:c r="J122" s="284"/>
    </x:row>
    <x:row r="123" ht="88" customHeight="1">
      <x:c r="A123" s="276" t="str">
        <x:v>Observaciones del flujo de carbono, energía y agua en el ecosistema del páramo dentro del Área de Conservación Hídrica del Antisana</x:v>
      </x:c>
      <x:c r="B123" s="276" t="str">
        <x:v>Xavier Zapata-Ríos; Leandro Robaina; David Carchipulla; Sandra Torres; Carmen Elena Lopez</x:v>
      </x:c>
      <x:c r="C123" s="277" t="str">
        <x:v>2022</x:v>
      </x:c>
      <x:c r="D123" s="276" t="str">
        <x:v>Cambio climático y global</x:v>
      </x:c>
      <x:c r="E123" s="276" t="str">
        <x:v>Proyectos de investigación</x:v>
      </x:c>
      <x:c r="F123" s="276" t="str">
        <x:v>Finalizado</x:v>
      </x:c>
      <x:c r="G123" s="281" t="n">
        <x:v>-0.478</x:v>
      </x:c>
      <x:c r="H123" s="281" t="n">
        <x:v>-78.217</x:v>
      </x:c>
      <x:c r="I123" s="276" t="str">
        <x:v>La presentación documenta observaciones de flujos de carbono, energía y agua en un sitio de páramo de Antisana a 4.250 m. Explica el uso de covarianza de remolinos y reporta balances de precipitación, evapotranspiración y CO₂ para 2021–2022. Informa una evapotranspiración diaria media de 1,37 mm y un balance anual neto de CO₂ negativo, interpretado como sumidero, pero los presenta como avances de monitoreo que requieren continuidad.</x:v>
      </x:c>
      <x:c r="J123" s="284"/>
    </x:row>
    <x:row r="124" ht="88" customHeight="1">
      <x:c r="A124" s="276" t="str">
        <x:v>Propuesta para la determinación de la eficacia de comunidades de macroinvertebrados como indicadores en el análisis del estado ecológico del humedal Pugllohuma</x:v>
      </x:c>
      <x:c r="B124" s="276" t="str">
        <x:v>Esteban Andrés Castañeda Chávez; Wanky Roberto Conejo Gualacata</x:v>
      </x:c>
      <x:c r="C124" s="277" t="str">
        <x:v>s. f.</x:v>
      </x:c>
      <x:c r="D124" s="276" t="str">
        <x:v>Ecología de páramo</x:v>
      </x:c>
      <x:c r="E124" s="276" t="str">
        <x:v>Proyectos de investigación</x:v>
      </x:c>
      <x:c r="F124" s="276" t="str">
        <x:v>Finalizado</x:v>
      </x:c>
      <x:c r="G124" s="281" t="n">
        <x:v>-0.508642</x:v>
      </x:c>
      <x:c r="H124" s="281" t="n">
        <x:v>-78.193517</x:v>
      </x:c>
      <x:c r="I124" s="276" t="str">
        <x:v>El proyecto evaluó la utilidad de macroinvertebrados como indicadores del estado ecológico del humedal Pugllohuma, comparando cinco pozas en recuperación con cinco sin recuperación. Caracterizó hábitat, conectividad, vegetación y variables físico-químicas, y aplicó análisis multivariados a riqueza y abundancia. Identificó 11 familias de macroinvertebrados y relaciones significativas con el entorno físico y químico; las pozas recuperadas, de mayor tamaño y conectividad, mostraron una composición más favorable.</x:v>
      </x:c>
      <x:c r="J124" s="284"/>
    </x:row>
    <x:row r="125" ht="88" customHeight="1">
      <x:c r="A125" s="276" t="str">
        <x:v>Proyecto Trazadores Colorimétricos A.C.H. Atacazo: comprendiendo las rutas del flujo del agua</x:v>
      </x:c>
      <x:c r="B125" s="276" t="str">
        <x:v>Braulio Lahuatte; Luna Delerue; Mario Guallpa; Teresa Muñoz</x:v>
      </x:c>
      <x:c r="C125" s="277" t="str">
        <x:v>s. f.</x:v>
      </x:c>
      <x:c r="D125" s="276" t="str">
        <x:v>Hidrología</x:v>
      </x:c>
      <x:c r="E125" s="276" t="str">
        <x:v>Proyectos de investigación</x:v>
      </x:c>
      <x:c r="F125" s="276" t="str">
        <x:v>Finalizado</x:v>
      </x:c>
      <x:c r="G125" s="281" t="n">
        <x:v>-0.35837</x:v>
      </x:c>
      <x:c r="H125" s="281" t="n">
        <x:v>-78.56291</x:v>
      </x:c>
      <x:c r="I125" s="276" t="str">
        <x:v>El proyecto de trazadores colorimétricos en ACHA Atacazo buscó comprender conexiones hídricas en las cuencas Dique Norte y Carachas, asociadas al predio San Gabriel. Propuso inyectar eosina y fluoresceína en dos puntos, monitorear hasta seis sitios con fluorómetros o carbón activado durante seis meses y contar con apoyo de guardapáramos. Se esperaban tiempos de tránsito, conexiones entre cabeceras, galerías y río, zonas de recarga y posibles trasvases para orientar la gestión del agua.</x:v>
      </x:c>
      <x:c r="J125" s="284"/>
    </x:row>
    <x:row r="126" ht="88" customHeight="1">
      <x:c r="A126" s="276" t="str">
        <x:v>Soil Moisture Forecast Using Transfer Learning: An Application in the High Tropical Andes</x:v>
      </x:c>
      <x:c r="B126" s="276" t="str">
        <x:v>Diego Escobar-González; Marcos Villacís; Sebastián Páez-Bimos; Gabriel Jácome; Juan González-Vergara; Claudia Encalada; Veerle Vanacker</x:v>
      </x:c>
      <x:c r="C126" s="277" t="str">
        <x:v>2024</x:v>
      </x:c>
      <x:c r="D126" s="276" t="str">
        <x:v>Hidrología</x:v>
      </x:c>
      <x:c r="E126" s="276" t="str">
        <x:v>Proyectos de investigación</x:v>
      </x:c>
      <x:c r="F126" s="276" t="str">
        <x:v>Finalizado</x:v>
      </x:c>
      <x:c r="G126" s="281" t="n">
        <x:v>-0.4838611111</x:v>
      </x:c>
      <x:c r="H126" s="281" t="n">
        <x:v>-78.2439305556</x:v>
      </x:c>
      <x:c r="I126" s="276" t="str">
        <x:v>El estudio desarrolló pronósticos de humedad del suelo para la subcuenca JTU_01, en la vertiente occidental del Antisana, mediante aprendizaje por transferencia. Usó datos de 2018–2022 de una estación meteorológica y sensores TDR en ocho perfiles bajo plantas en cojín y pajonal, y entrenó modelos neuronales. Los modelos transferidos reprodujeron con alta precisión series de sitios poco instrumentados y mostraron que la vegetación condiciona la humedad del suelo.</x:v>
      </x:c>
      <x:c r="J126" s="284"/>
    </x:row>
    <x:row r="127" ht="88" customHeight="1">
      <x:c r="A127" s="276" t="str">
        <x:v>Soil–vegetation–water interactions controlling solute flow and chemical weathering in volcanic ash soils of the high Andes</x:v>
      </x:c>
      <x:c r="B127" s="276" t="str">
        <x:v>Sebastián Páez-Bimos; Armando Molina; Marlon Calispa; Pierre Delmelle; y cols.</x:v>
      </x:c>
      <x:c r="C127" s="277" t="str">
        <x:v>2023</x:v>
      </x:c>
      <x:c r="D127" s="276" t="str">
        <x:v>Geología, Sismología y Vulcanología</x:v>
      </x:c>
      <x:c r="E127" s="276" t="str">
        <x:v>Proyectos de investigación</x:v>
      </x:c>
      <x:c r="F127" s="276" t="str">
        <x:v>Finalizado</x:v>
      </x:c>
      <x:c r="G127" s="281" t="n">
        <x:v>-0.4838027778</x:v>
      </x:c>
      <x:c r="H127" s="281" t="n">
        <x:v>-78.2438027778</x:v>
      </x:c>
      <x:c r="I127" s="276" t="str">
        <x:v>El estudio investigó cómo plantas en cojín y pajonales controlan el balance hídrico, flujos de solutos y meteorización de suelos de ceniza volcánica altoandinos. Midió humedad, flujos y concentraciones en dos perfiles y modeló la hidrología del suelo. Bajo cojines, la evapotranspiración fue 1,7 veces mayor y el drenaje profundo tres veces menor que bajo pajonal; la vegetación alteró el horizonte superficial y condicionó movilización de solutos y meteorización.</x:v>
      </x:c>
      <x:c r="J127" s="284"/>
    </x:row>
    <x:row r="128" ht="88" customHeight="1">
      <x:c r="A128" s="276" t="str">
        <x:v>Variación en la dieta de las comunidades de la familia Carabidae en un gradiente altitudinal de la zona suroeste del volcán Antisana</x:v>
      </x:c>
      <x:c r="B128" s="276" t="str">
        <x:v>Jamie Nicole Mora Bolaños</x:v>
      </x:c>
      <x:c r="C128" s="277" t="str">
        <x:v>2023</x:v>
      </x:c>
      <x:c r="D128" s="276" t="str">
        <x:v>Ecología de páramo</x:v>
      </x:c>
      <x:c r="E128" s="276" t="str">
        <x:v>Proyectos de investigación</x:v>
      </x:c>
      <x:c r="F128" s="276" t="str">
        <x:v>Finalizado</x:v>
      </x:c>
      <x:c r="G128" s="281" t="n">
        <x:v>-0.52263</x:v>
      </x:c>
      <x:c r="H128" s="281" t="n">
        <x:v>-78.2162</x:v>
      </x:c>
      <x:c r="I128" s="276" t="str">
        <x:v>La disertación evaluó la dieta de comunidades de Carabidae a lo largo de un gradiente altitudinal del suroeste del Antisana. Empleó trampas pitfall para capturar carábidos e invertebrados asociados, examinó contenido digestivo y comparó resultados por altitud. Identificó diez especies, dominadas por Dyscolus orthomus; la composición y abundancia variaron significativamente con la altitud y se observaron diferencias dietarias entre especies.</x:v>
      </x:c>
      <x:c r="J128" s="284"/>
    </x:row>
    <x:row r="129" ht="88" customHeight="1">
      <x:c r="A129" s="276" t="str">
        <x:v>Vegetation effects on soil pore structure and hydraulic properties in volcanic ash soils of the high Andes</x:v>
      </x:c>
      <x:c r="B129" s="276" t="str">
        <x:v>Sebastián Páez-Bimos; Marcos Villacís; Oscar Morales; Marlon Calispa; Armando Molina; Silvia Salgado; Bert de Bievre; Pierre Delmelle; Teresa Muñoz; Veerle Vanacker</x:v>
      </x:c>
      <x:c r="C129" s="277" t="str">
        <x:v>2022</x:v>
      </x:c>
      <x:c r="D129" s="276" t="str">
        <x:v>Ecología de páramo</x:v>
      </x:c>
      <x:c r="E129" s="276" t="str">
        <x:v>Proyectos de investigación</x:v>
      </x:c>
      <x:c r="F129" s="276" t="str">
        <x:v>Finalizado</x:v>
      </x:c>
      <x:c r="G129" s="281" t="n">
        <x:v>-0.4838027778</x:v>
      </x:c>
      <x:c r="H129" s="281" t="n">
        <x:v>-78.2438027778</x:v>
      </x:c>
      <x:c r="I129" s="276" t="str">
        <x:v>La investigación examinó ocho perfiles de suelos de ceniza volcánica en un sitio de 0,7 km² de páramo, comparando plantas en cojín, pajonales y posiciones topográficas. Midió retención de agua, conductividad hidráulica saturada, densidad, porosidad, textura, carbono y raíces. La vegetación explicó más variación que la topografía: bajo cojines aumentaron la retención y el agua disponible, y la conductividad fue entre cuatro y doce veces mayor.</x:v>
      </x:c>
      <x:c r="J129" s="284"/>
    </x:row>
    <x:row r="130" ht="88" customHeight="1">
      <x:c r="A130" s="278" t="str">
        <x:v>When the Ice Has Gone: Colonisation of Equatorial Glacier Forelands by Ground Beetles (Coleoptera: Carabidae)</x:v>
      </x:c>
      <x:c r="B130" s="278" t="str">
        <x:v>P. Moret; Á. Barragán; E. Moreno; S. Cauvy-Fraunié; M. Gobbi</x:v>
      </x:c>
      <x:c r="C130" s="279" t="str">
        <x:v>2020</x:v>
      </x:c>
      <x:c r="D130" s="278" t="str">
        <x:v>Cambio climático y global</x:v>
      </x:c>
      <x:c r="E130" s="278" t="str">
        <x:v>Proyectos de investigación</x:v>
      </x:c>
      <x:c r="F130" s="278" t="str">
        <x:v>Finalizado</x:v>
      </x:c>
      <x:c r="G130" s="282" t="n">
        <x:v>-0.4743833333</x:v>
      </x:c>
      <x:c r="H130" s="282" t="n">
        <x:v>-78.15355</x:v>
      </x:c>
      <x:c r="I130" s="278" t="str">
        <x:v>La investigación analizó la colonización de antecampos glaciares de Antisana y Carihuairazo por carábidos a lo largo de cronosecuencias de desglaciación. Usó parcelas de distintas edades, trampas de caída y análisis de diversidad y composición. Registró 12 especies en Antisana y mostró que especies pioneras persistieron desde superficies jóvenes hasta las de más de dos siglos, en lugar de ser reemplazadas de forma ordenada; advierte que especies adaptadas al frío pueden quedar confinadas en cumbres ante el retroceso glaciar.</x:v>
      </x:c>
      <x:c r="J130" s="285"/>
    </x:row>
  </x:sheetData>
  <x:pageMargins left="0.7" right="0.7" top="0.75" bottom="0.75" header="0.3" footer="0.3"/>
  <x:tableParts count="1">
    <x:tablePart xmlns:r="http://schemas.openxmlformats.org/officeDocument/2006/relationships" r:id="R22a142a495db441d"/>
  </x:tableParts>
</x:worksheet>
</file>